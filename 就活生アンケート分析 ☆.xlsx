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kautest-my.sharepoint.com/personal/pun41953_s_okayama-u_ac_jp/Documents/"/>
    </mc:Choice>
  </mc:AlternateContent>
  <xr:revisionPtr revIDLastSave="0" documentId="8_{B956D1B6-710F-45F8-A318-EDD013B00936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サマリー" sheetId="1" r:id="rId1"/>
    <sheet name="就活前_集計" sheetId="2" r:id="rId2"/>
    <sheet name="就活経験者_集計" sheetId="3" r:id="rId3"/>
    <sheet name="比較・示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18" i="4" s="1"/>
  <c r="B17" i="4"/>
  <c r="C17" i="4" s="1"/>
  <c r="B16" i="4"/>
  <c r="C16" i="4" s="1"/>
  <c r="B15" i="4"/>
  <c r="C15" i="4" s="1"/>
  <c r="B14" i="4"/>
  <c r="C14" i="4" s="1"/>
  <c r="C121" i="3"/>
  <c r="C120" i="3"/>
  <c r="C119" i="3"/>
  <c r="C118" i="3"/>
  <c r="C117" i="3"/>
  <c r="C116" i="3"/>
  <c r="C115" i="3"/>
  <c r="C114" i="3"/>
  <c r="C113" i="3"/>
  <c r="C104" i="3"/>
  <c r="C103" i="3"/>
  <c r="C102" i="3"/>
  <c r="C101" i="3"/>
  <c r="C100" i="3"/>
  <c r="C99" i="3"/>
  <c r="C98" i="3"/>
  <c r="C97" i="3"/>
  <c r="C96" i="3"/>
  <c r="C87" i="3"/>
  <c r="C86" i="3"/>
  <c r="C85" i="3"/>
  <c r="C84" i="3"/>
  <c r="C83" i="3"/>
  <c r="C82" i="3"/>
  <c r="C81" i="3"/>
  <c r="C80" i="3"/>
  <c r="C9" i="4" s="1"/>
  <c r="C79" i="3"/>
  <c r="C67" i="3"/>
  <c r="C66" i="3"/>
  <c r="C65" i="3"/>
  <c r="C56" i="3"/>
  <c r="C55" i="3"/>
  <c r="C54" i="3"/>
  <c r="C53" i="3"/>
  <c r="C52" i="3"/>
  <c r="C51" i="3"/>
  <c r="C50" i="3"/>
  <c r="C49" i="3"/>
  <c r="C48" i="3"/>
  <c r="C7" i="4" s="1"/>
  <c r="C35" i="3"/>
  <c r="C5" i="4" s="1"/>
  <c r="C34" i="3"/>
  <c r="C23" i="3"/>
  <c r="C22" i="3"/>
  <c r="C21" i="3"/>
  <c r="C20" i="3"/>
  <c r="C6" i="3"/>
  <c r="C129" i="2"/>
  <c r="C128" i="2"/>
  <c r="C127" i="2"/>
  <c r="C126" i="2"/>
  <c r="C125" i="2"/>
  <c r="C124" i="2"/>
  <c r="C123" i="2"/>
  <c r="C122" i="2"/>
  <c r="C121" i="2"/>
  <c r="C112" i="2"/>
  <c r="C111" i="2"/>
  <c r="C110" i="2"/>
  <c r="C109" i="2"/>
  <c r="C108" i="2"/>
  <c r="C107" i="2"/>
  <c r="C106" i="2"/>
  <c r="C105" i="2"/>
  <c r="C104" i="2"/>
  <c r="C103" i="2"/>
  <c r="C94" i="2"/>
  <c r="C93" i="2"/>
  <c r="C92" i="2"/>
  <c r="C91" i="2"/>
  <c r="C90" i="2"/>
  <c r="C89" i="2"/>
  <c r="C88" i="2"/>
  <c r="C87" i="2"/>
  <c r="C86" i="2"/>
  <c r="C85" i="2"/>
  <c r="C84" i="2"/>
  <c r="C83" i="2"/>
  <c r="B7" i="4" s="1"/>
  <c r="C74" i="2"/>
  <c r="C73" i="2"/>
  <c r="C72" i="2"/>
  <c r="C71" i="2"/>
  <c r="C70" i="2"/>
  <c r="C69" i="2"/>
  <c r="C68" i="2"/>
  <c r="C67" i="2"/>
  <c r="C66" i="2"/>
  <c r="C57" i="2"/>
  <c r="C56" i="2"/>
  <c r="C55" i="2"/>
  <c r="C54" i="2"/>
  <c r="C53" i="2"/>
  <c r="C52" i="2"/>
  <c r="C51" i="2"/>
  <c r="C50" i="2"/>
  <c r="C49" i="2"/>
  <c r="C48" i="2"/>
  <c r="B9" i="4" s="1"/>
  <c r="C37" i="2"/>
  <c r="C36" i="2"/>
  <c r="C35" i="2"/>
  <c r="C34" i="2"/>
  <c r="B5" i="4" s="1"/>
  <c r="C21" i="2"/>
  <c r="C20" i="2"/>
  <c r="C8" i="2"/>
  <c r="C7" i="2"/>
  <c r="C6" i="2"/>
  <c r="C76" i="1"/>
  <c r="C75" i="1"/>
  <c r="C74" i="1"/>
  <c r="C62" i="1"/>
  <c r="C61" i="1"/>
  <c r="C49" i="1"/>
  <c r="C48" i="1"/>
  <c r="C36" i="1"/>
  <c r="C35" i="1"/>
  <c r="C34" i="1"/>
  <c r="C22" i="1"/>
  <c r="C21" i="1"/>
  <c r="C14" i="1"/>
  <c r="D13" i="1"/>
  <c r="C12" i="1"/>
  <c r="C11" i="1"/>
  <c r="D9" i="1"/>
  <c r="C9" i="1"/>
</calcChain>
</file>

<file path=xl/sharedStrings.xml><?xml version="1.0" encoding="utf-8"?>
<sst xmlns="http://schemas.openxmlformats.org/spreadsheetml/2006/main" count="288" uniqueCount="186">
  <si>
    <t>就活生アンケート分析 サマリー</t>
  </si>
  <si>
    <t>【背景】</t>
  </si>
  <si>
    <t>就活支援のためのアンケート（就活前学生 142件／就活経験者 6件）</t>
  </si>
  <si>
    <t>【目的】</t>
  </si>
  <si>
    <t>就活生の悩みと、役立つ支援内容を明らかにする</t>
  </si>
  <si>
    <t>【表記】</t>
  </si>
  <si>
    <t>グラフはすべて青系で統一表示</t>
  </si>
  <si>
    <t>調査概要</t>
  </si>
  <si>
    <t>項目</t>
  </si>
  <si>
    <t>就活前学生</t>
  </si>
  <si>
    <t>就活経験者</t>
  </si>
  <si>
    <t>回答者数</t>
  </si>
  <si>
    <t>最多学年/卒業年度</t>
  </si>
  <si>
    <t>1年生（88.0%）</t>
  </si>
  <si>
    <t>28卒（100%）</t>
  </si>
  <si>
    <t>就活未着手の割合</t>
  </si>
  <si>
    <t>―</t>
  </si>
  <si>
    <t>県内就職に興味あり（とても＋少し）</t>
  </si>
  <si>
    <t>実際の県内就職割合</t>
  </si>
  <si>
    <t>最大の不安（面接）</t>
  </si>
  <si>
    <t>重要インサイト（5点） ― 根拠データを強調グラフで表示</t>
  </si>
  <si>
    <t>① 面接不安は圧倒的、かつ対策の効果も裏付けあり</t>
  </si>
  <si>
    <t>就活前学生の88.0%(125人)が面接を不安視し、80.3%(114人)が面接対策を最も知りたいと回答。経験者調査でも「面接練習」が良かったこと1位(66.7%=4人)であり、対策の有効性が裏付けられる。</t>
  </si>
  <si>
    <t xml:space="preserve">  根拠データ（グラフ）</t>
  </si>
  <si>
    <t>割合</t>
  </si>
  <si>
    <t>就活前：面接が不安</t>
  </si>
  <si>
    <t>経験者：面接練習をして良かった</t>
  </si>
  <si>
    <t>② 早期着手の重要性が経験者側からも明確</t>
  </si>
  <si>
    <t>就活前学生の89.4%(127人)が「まだ何も始めていない」。経験者は大学3年後半に本格開始が66.7%(4人)で最多だが、「就活開始が遅かった」ことを後悔する声も33.3%(2人)あり、早期の意識づけが有効と示唆される。</t>
  </si>
  <si>
    <t>就活前：まだ何も始めていない</t>
  </si>
  <si>
    <t>経験者：3年後半に本格開始</t>
  </si>
  <si>
    <t>経験者：開始が遅かったと後悔</t>
  </si>
  <si>
    <t>③ 「地元志向」と実際の就職先にギャップ</t>
  </si>
  <si>
    <t>就活前学生の57.7%が県内就職に興味を示す一方、経験者で実際に県内就職したのは16.7%(1人)のみ、83.3%(5人)は県外へ。地域選択理由は「給与・待遇」「企業の魅力」が各50%(3人)で最多、地元志向だけでは決め手にならない現実が見える。</t>
  </si>
  <si>
    <t>就活前：県内就職に興味あり</t>
  </si>
  <si>
    <t>経験者：実際に県内就職</t>
  </si>
  <si>
    <t>④ 「ガクチカ・志望動機」の重要性と支援コンテンツのギャップ</t>
  </si>
  <si>
    <t>経験者の面接で最頻出の質問は「学生時代に力を入れたこと」「志望動機」で共に100%(6人)。一方、就活前学生向けアンケートの選択肢にはガクチカ対策が明示項目として存在せず、支援ニーズが見えにくい形で潜在している。</t>
  </si>
  <si>
    <t>経験者：ガクチカを質問された</t>
  </si>
  <si>
    <t>経験者：志望動機を質問された</t>
  </si>
  <si>
    <t>⑤ 「給与・待遇」重視の企業選びと知りたい情報が一致</t>
  </si>
  <si>
    <t>就活前学生の企業選び重視項目は給与74.6%(106人)が1位、岡山企業について知りたい情報でも給与79.6%(113人)が1位。経験者の地域選択理由でも「給与・待遇」が50%(3人)で最多タイであり、待遇情報の透明性が意思決定を左右する。</t>
  </si>
  <si>
    <t>就活前：企業選びで給与を重視</t>
  </si>
  <si>
    <t>就活前：岡山企業の給与情報を希望</t>
  </si>
  <si>
    <t>経験者：地域選択で給与・待遇を重視</t>
  </si>
  <si>
    <t>アウトプット案（就活生向け支援コンテンツ）</t>
  </si>
  <si>
    <t>・面接想定質問集＋回答例（岡山企業版・ガクチカ／志望動機／逆質問を中心に）</t>
  </si>
  <si>
    <t>・岡山企業の給与・待遇比較データベース</t>
  </si>
  <si>
    <t>・「1・2年生からできること」逆算スケジュール表</t>
  </si>
  <si>
    <t>・先輩の生の声コンテンツ（良かった点／後悔点の両方を収録）</t>
  </si>
  <si>
    <t>・ガクチカ・志望動機の作り方ワークシート</t>
  </si>
  <si>
    <t>・岡山企業の魅力発信（給与以外の社風・成長環境・キャリアパスも含む）</t>
  </si>
  <si>
    <t>就活前学生向けアンケート 集計（n=142）</t>
  </si>
  <si>
    <t>Q1. 学年を教えてください</t>
  </si>
  <si>
    <t>回答者数(n)</t>
  </si>
  <si>
    <t>回答数</t>
  </si>
  <si>
    <t>1年生</t>
  </si>
  <si>
    <t>2年生</t>
  </si>
  <si>
    <t>3〜4年生・院生（計）</t>
  </si>
  <si>
    <t>※3〜4年生・大学院生は個別内訳が非表示のため合算</t>
  </si>
  <si>
    <t>Q2. 現在の就活状況を教えてください</t>
  </si>
  <si>
    <t>まだ何も始めていない</t>
  </si>
  <si>
    <t>情報収集中・準備中など（計）</t>
  </si>
  <si>
    <t>※「まだ何も始めていない」以外は個別内訳が非表示のため合算</t>
  </si>
  <si>
    <t>Q3. 岡山県内での就職に興味はありますか</t>
  </si>
  <si>
    <t>とてもある</t>
  </si>
  <si>
    <t>少しある</t>
  </si>
  <si>
    <t>あまりない</t>
  </si>
  <si>
    <t>ない</t>
  </si>
  <si>
    <t>Q4. 就活で不安なこと（複数選択可）</t>
  </si>
  <si>
    <t>面接</t>
  </si>
  <si>
    <t>自己分析</t>
  </si>
  <si>
    <t>ES（エントリーシート）</t>
  </si>
  <si>
    <t>グループディスカッション</t>
  </si>
  <si>
    <t>マナー</t>
  </si>
  <si>
    <t>インターンシップ</t>
  </si>
  <si>
    <t>企業研究</t>
  </si>
  <si>
    <t>SPI・適性検査</t>
  </si>
  <si>
    <t>業界研究</t>
  </si>
  <si>
    <t>その他</t>
  </si>
  <si>
    <t>※複数選択のため割合は回答者数(142)に対する割合</t>
  </si>
  <si>
    <t>Q5. 就活を始める前に知りたいこと（複数選択可）</t>
  </si>
  <si>
    <t>面接対策</t>
  </si>
  <si>
    <t>就活スケジュール</t>
  </si>
  <si>
    <t>インターン情報</t>
  </si>
  <si>
    <t>ESの書き方</t>
  </si>
  <si>
    <t>自己分析の方法</t>
  </si>
  <si>
    <t>内定者の体験談</t>
  </si>
  <si>
    <t>企業研究の方法</t>
  </si>
  <si>
    <t>業界研究の方法</t>
  </si>
  <si>
    <t>SPI対策</t>
  </si>
  <si>
    <t>Q6. 企業選びで重視する項目（3つ選択・複数選択可）</t>
  </si>
  <si>
    <t>給与</t>
  </si>
  <si>
    <t>仕事内容</t>
  </si>
  <si>
    <t>人間関係</t>
  </si>
  <si>
    <t>福利厚生</t>
  </si>
  <si>
    <t>ワークライフバランス</t>
  </si>
  <si>
    <t>勤務地</t>
  </si>
  <si>
    <t>安定性</t>
  </si>
  <si>
    <t>社風</t>
  </si>
  <si>
    <t>成長できる環境</t>
  </si>
  <si>
    <t>転勤の有無</t>
  </si>
  <si>
    <t>知名度</t>
  </si>
  <si>
    <t>企業理念</t>
  </si>
  <si>
    <t>※3つ選択のため割合は回答者数(142)に対する割合</t>
  </si>
  <si>
    <t>Q7. 岡山企業について知りたい情報（複数選択可）</t>
  </si>
  <si>
    <t>社内の雰囲気</t>
  </si>
  <si>
    <t>残業時間</t>
  </si>
  <si>
    <t>有給取得率</t>
  </si>
  <si>
    <t>若手社員の働き方</t>
  </si>
  <si>
    <t>離職率</t>
  </si>
  <si>
    <t>研修制度</t>
  </si>
  <si>
    <t>キャリアパス</t>
  </si>
  <si>
    <t>Q8. 就活支援サイトに欲しい機能（複数選択可）</t>
  </si>
  <si>
    <t>面接質問集</t>
  </si>
  <si>
    <t>企業比較機能</t>
  </si>
  <si>
    <t>先輩体験談</t>
  </si>
  <si>
    <t>ES例文</t>
  </si>
  <si>
    <t>企業検索機能</t>
  </si>
  <si>
    <t>OB・OG訪問情報</t>
  </si>
  <si>
    <t>動画コンテンツ</t>
  </si>
  <si>
    <t>就活経験者向けアンケート 集計（n=6）</t>
  </si>
  <si>
    <t>Q1. 卒業年度を教えてください</t>
  </si>
  <si>
    <t>28卒</t>
  </si>
  <si>
    <t>Q2. 就職先の業界を教えてください</t>
  </si>
  <si>
    <t>公務員</t>
  </si>
  <si>
    <t>IT</t>
  </si>
  <si>
    <t>メーカー</t>
  </si>
  <si>
    <t>金融</t>
  </si>
  <si>
    <t>Q3. 就職先はどこですか</t>
  </si>
  <si>
    <t>岡山県外</t>
  </si>
  <si>
    <t>岡山県内</t>
  </si>
  <si>
    <t>Q4. なぜその地域を選びましたか（複数選択可）</t>
  </si>
  <si>
    <t>給与・待遇が良かった</t>
  </si>
  <si>
    <t>企業の魅力を感じた</t>
  </si>
  <si>
    <t>地元で働きたかった</t>
  </si>
  <si>
    <t>家族の近くにいたかった</t>
  </si>
  <si>
    <t>働きやすい環境があった</t>
  </si>
  <si>
    <t>交通アクセスが良かった</t>
  </si>
  <si>
    <t>特に理由はない</t>
  </si>
  <si>
    <t>希望する業界・職種の求人があった</t>
  </si>
  <si>
    <t>生活コストが低い地域を選んだ</t>
  </si>
  <si>
    <t>※複数選択のため割合は回答者数(6)に対する割合</t>
  </si>
  <si>
    <t>Q5. 就活を本格的に始めた時期を教えてください</t>
  </si>
  <si>
    <t>大学3年後半</t>
  </si>
  <si>
    <t>大学3年前半</t>
  </si>
  <si>
    <t>大学4年前半</t>
  </si>
  <si>
    <t>Q6. やっておいて良かったこと（複数選択可）</t>
  </si>
  <si>
    <t>インターン参加</t>
  </si>
  <si>
    <t>面接練習</t>
  </si>
  <si>
    <t>ガクチカ作り</t>
  </si>
  <si>
    <t>OB・OG訪問</t>
  </si>
  <si>
    <t>資格取得</t>
  </si>
  <si>
    <t>Q7. 後悔していること（複数選択可）</t>
  </si>
  <si>
    <t>就活開始が遅かった</t>
  </si>
  <si>
    <t>インターン未参加</t>
  </si>
  <si>
    <t>特になし</t>
  </si>
  <si>
    <t>SPI対策不足</t>
  </si>
  <si>
    <t>面接練習不足</t>
  </si>
  <si>
    <t>業界研究不足</t>
  </si>
  <si>
    <t>企業研究不足</t>
  </si>
  <si>
    <t>ES対策不足</t>
  </si>
  <si>
    <t>Q8. 面接で実際によく聞かれた質問（複数選択可）</t>
  </si>
  <si>
    <t>学生時代に力を入れたこと</t>
  </si>
  <si>
    <t>志望動機</t>
  </si>
  <si>
    <t>自己PR</t>
  </si>
  <si>
    <t>逆質問</t>
  </si>
  <si>
    <t>長所・短所</t>
  </si>
  <si>
    <t>挫折経験</t>
  </si>
  <si>
    <t>リーダー経験</t>
  </si>
  <si>
    <t>チーム活動経験</t>
  </si>
  <si>
    <t>将来のキャリアプラン</t>
  </si>
  <si>
    <t>就活前学生 × 就活経験者 比較</t>
  </si>
  <si>
    <t>※ グラフはすべて青系で統一表示</t>
  </si>
  <si>
    <t>地域（岡山県内就職）に関する意識と実態の比較</t>
  </si>
  <si>
    <t>観点</t>
  </si>
  <si>
    <t>就活前学生(n=142)</t>
  </si>
  <si>
    <t>就活経験者(n=6)</t>
  </si>
  <si>
    <t>差分・示唆</t>
  </si>
  <si>
    <t>県内就職への関心・実態</t>
  </si>
  <si>
    <t>興味はあっても実際の選択は県外が多数。給与・待遇など具体的魅力訴求が必要</t>
  </si>
  <si>
    <t>地域選択で「給与・待遇」を重視する割合</t>
  </si>
  <si>
    <t>両者とも給与・待遇を重視。待遇情報の可視化が有効</t>
  </si>
  <si>
    <t>面接を不安視/対策して良かったとする割合</t>
  </si>
  <si>
    <t>面接対策への支援ニーズが一貫して高い</t>
  </si>
  <si>
    <t>共通して重視される項目 Top5（就活前学生：企業選び基準）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</si>
</sst>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ＭＳ Ｐゴシック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4E78"/>
      <name val="Arial"/>
      <family val="2"/>
    </font>
    <font>
      <b/>
      <sz val="10"/>
      <color rgb="FF404040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i/>
      <sz val="9"/>
      <color rgb="FF7F7F7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2E74B5"/>
      <name val="Arial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FF3FB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6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 inden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 inden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vertical="center" wrapText="1"/>
    </xf>
    <xf numFmtId="176" fontId="10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vertical="center" indent="1"/>
    </xf>
    <xf numFmtId="0" fontId="8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vertical="top" wrapText="1" indent="1"/>
    </xf>
    <xf numFmtId="0" fontId="2" fillId="2" borderId="0" xfId="0" applyFont="1" applyFill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根拠データ：インサイト</a:t>
            </a:r>
            <a:r>
              <a:rPr lang="en-US" altLang="ja-JP"/>
              <a:t>1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4"/>
          <c:y val="0.2"/>
          <c:w val="0.53"/>
          <c:h val="0.6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サマリー!$C$20</c:f>
              <c:strCache>
                <c:ptCount val="1"/>
                <c:pt idx="0">
                  <c:v>割合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サマリー!$B$21:$B$22</c:f>
              <c:strCache>
                <c:ptCount val="2"/>
                <c:pt idx="0">
                  <c:v>就活前：面接が不安</c:v>
                </c:pt>
                <c:pt idx="1">
                  <c:v>経験者：面接練習をして良かった</c:v>
                </c:pt>
              </c:strCache>
            </c:strRef>
          </c:cat>
          <c:val>
            <c:numRef>
              <c:f>サマリー!$C$21:$C$22</c:f>
              <c:numCache>
                <c:formatCode>0.0%</c:formatCode>
                <c:ptCount val="2"/>
                <c:pt idx="0">
                  <c:v>0.88028169014084512</c:v>
                </c:pt>
                <c:pt idx="1">
                  <c:v>0.66666666666666663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09-4E22-B00C-7C05FF4A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EFF3FB"/>
    </a:solidFill>
    <a:ln w="19050">
      <a:solidFill>
        <a:srgbClr val="1F4E78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根拠データ：インサイト</a:t>
            </a:r>
            <a:r>
              <a:rPr lang="en-US" altLang="ja-JP"/>
              <a:t>2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4"/>
          <c:y val="0.2"/>
          <c:w val="0.53"/>
          <c:h val="0.6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サマリー!$C$33</c:f>
              <c:strCache>
                <c:ptCount val="1"/>
                <c:pt idx="0">
                  <c:v>割合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サマリー!$B$34:$B$36</c:f>
              <c:strCache>
                <c:ptCount val="3"/>
                <c:pt idx="0">
                  <c:v>就活前：まだ何も始めていない</c:v>
                </c:pt>
                <c:pt idx="1">
                  <c:v>経験者：3年後半に本格開始</c:v>
                </c:pt>
                <c:pt idx="2">
                  <c:v>経験者：開始が遅かったと後悔</c:v>
                </c:pt>
              </c:strCache>
            </c:strRef>
          </c:cat>
          <c:val>
            <c:numRef>
              <c:f>サマリー!$C$34:$C$36</c:f>
              <c:numCache>
                <c:formatCode>0.0%</c:formatCode>
                <c:ptCount val="3"/>
                <c:pt idx="0">
                  <c:v>0.89436619718309862</c:v>
                </c:pt>
                <c:pt idx="1">
                  <c:v>0.66666666666666663</c:v>
                </c:pt>
                <c:pt idx="2">
                  <c:v>0.33333333333333331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8C-4CA3-9187-CFDC6F36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EFF3FB"/>
    </a:solidFill>
    <a:ln w="19050">
      <a:solidFill>
        <a:srgbClr val="1F4E78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根拠データ：インサイト</a:t>
            </a:r>
            <a:r>
              <a:rPr lang="en-US" altLang="ja-JP"/>
              <a:t>3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4"/>
          <c:y val="0.2"/>
          <c:w val="0.53"/>
          <c:h val="0.6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サマリー!$C$47</c:f>
              <c:strCache>
                <c:ptCount val="1"/>
                <c:pt idx="0">
                  <c:v>割合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サマリー!$B$48:$B$49</c:f>
              <c:strCache>
                <c:ptCount val="2"/>
                <c:pt idx="0">
                  <c:v>就活前：県内就職に興味あり</c:v>
                </c:pt>
                <c:pt idx="1">
                  <c:v>経験者：実際に県内就職</c:v>
                </c:pt>
              </c:strCache>
            </c:strRef>
          </c:cat>
          <c:val>
            <c:numRef>
              <c:f>サマリー!$C$48:$C$49</c:f>
              <c:numCache>
                <c:formatCode>0.0%</c:formatCode>
                <c:ptCount val="2"/>
                <c:pt idx="0">
                  <c:v>0.57746478873239437</c:v>
                </c:pt>
                <c:pt idx="1">
                  <c:v>0.16666666666666666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35-4783-BFA2-B0AF61BFB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EFF3FB"/>
    </a:solidFill>
    <a:ln w="19050">
      <a:solidFill>
        <a:srgbClr val="1F4E78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根拠データ：インサイト4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4"/>
          <c:y val="0.2"/>
          <c:w val="0.53"/>
          <c:h val="0.6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サマリー!$C$60</c:f>
              <c:strCache>
                <c:ptCount val="1"/>
                <c:pt idx="0">
                  <c:v>割合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サマリー!$B$61:$B$62</c:f>
              <c:strCache>
                <c:ptCount val="2"/>
                <c:pt idx="0">
                  <c:v>経験者：ガクチカを質問された</c:v>
                </c:pt>
                <c:pt idx="1">
                  <c:v>経験者：志望動機を質問された</c:v>
                </c:pt>
              </c:strCache>
            </c:strRef>
          </c:cat>
          <c:val>
            <c:numRef>
              <c:f>サマリー!$C$61:$C$62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8D-48AE-917F-CB020812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EFF3FB"/>
    </a:solidFill>
    <a:ln w="19050">
      <a:solidFill>
        <a:srgbClr val="1F4E78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根拠データ：インサイト5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4"/>
          <c:y val="0.2"/>
          <c:w val="0.53"/>
          <c:h val="0.6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サマリー!$C$73</c:f>
              <c:strCache>
                <c:ptCount val="1"/>
                <c:pt idx="0">
                  <c:v>割合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サマリー!$B$74:$B$76</c:f>
              <c:strCache>
                <c:ptCount val="3"/>
                <c:pt idx="0">
                  <c:v>就活前：企業選びで給与を重視</c:v>
                </c:pt>
                <c:pt idx="1">
                  <c:v>就活前：岡山企業の給与情報を希望</c:v>
                </c:pt>
                <c:pt idx="2">
                  <c:v>経験者：地域選択で給与・待遇を重視</c:v>
                </c:pt>
              </c:strCache>
            </c:strRef>
          </c:cat>
          <c:val>
            <c:numRef>
              <c:f>サマリー!$C$74:$C$76</c:f>
              <c:numCache>
                <c:formatCode>0.0%</c:formatCode>
                <c:ptCount val="3"/>
                <c:pt idx="0">
                  <c:v>0.74647887323943662</c:v>
                </c:pt>
                <c:pt idx="1">
                  <c:v>0.79577464788732399</c:v>
                </c:pt>
                <c:pt idx="2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4E-4952-8197-A66AC16B0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EFF3FB"/>
    </a:solidFill>
    <a:ln w="19050">
      <a:solidFill>
        <a:srgbClr val="1F4E78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Q1. </a:t>
            </a:r>
            <a:r>
              <a:rPr lang="ja-JP" altLang="en-US"/>
              <a:t>学年を教えてください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就活前_集計!$B$5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就活前_集計!$A$6:$A$8</c:f>
              <c:strCache>
                <c:ptCount val="3"/>
                <c:pt idx="0">
                  <c:v>1年生</c:v>
                </c:pt>
                <c:pt idx="1">
                  <c:v>2年生</c:v>
                </c:pt>
                <c:pt idx="2">
                  <c:v>3〜4年生・院生（計）</c:v>
                </c:pt>
              </c:strCache>
            </c:strRef>
          </c:cat>
          <c:val>
            <c:numRef>
              <c:f>就活前_集計!$B$6:$B$8</c:f>
              <c:numCache>
                <c:formatCode>General</c:formatCode>
                <c:ptCount val="3"/>
                <c:pt idx="0">
                  <c:v>125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35-4748-BF35-DEBD82C7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Q2. </a:t>
            </a:r>
            <a:r>
              <a:rPr lang="ja-JP" altLang="en-US"/>
              <a:t>現在の就活状況を教えてください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就活前_集計!$B$19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就活前_集計!$A$20:$A$21</c:f>
              <c:strCache>
                <c:ptCount val="2"/>
                <c:pt idx="0">
                  <c:v>まだ何も始めていない</c:v>
                </c:pt>
                <c:pt idx="1">
                  <c:v>情報収集中・準備中など（計）</c:v>
                </c:pt>
              </c:strCache>
            </c:strRef>
          </c:cat>
          <c:val>
            <c:numRef>
              <c:f>就活前_集計!$B$20:$B$21</c:f>
              <c:numCache>
                <c:formatCode>General</c:formatCode>
                <c:ptCount val="2"/>
                <c:pt idx="0">
                  <c:v>127</c:v>
                </c:pt>
                <c:pt idx="1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AD-40E7-847A-5B280E171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Q3. </a:t>
            </a:r>
            <a:r>
              <a:rPr lang="ja-JP" altLang="en-US"/>
              <a:t>岡山県内での就職に興味はありますか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就活前_集計!$B$33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就活前_集計!$A$34:$A$37</c:f>
              <c:strCache>
                <c:ptCount val="4"/>
                <c:pt idx="0">
                  <c:v>とてもある</c:v>
                </c:pt>
                <c:pt idx="1">
                  <c:v>少しある</c:v>
                </c:pt>
                <c:pt idx="2">
                  <c:v>あまりない</c:v>
                </c:pt>
                <c:pt idx="3">
                  <c:v>ない</c:v>
                </c:pt>
              </c:strCache>
            </c:strRef>
          </c:cat>
          <c:val>
            <c:numRef>
              <c:f>就活前_集計!$B$34:$B$37</c:f>
              <c:numCache>
                <c:formatCode>General</c:formatCode>
                <c:ptCount val="4"/>
                <c:pt idx="0">
                  <c:v>25</c:v>
                </c:pt>
                <c:pt idx="1">
                  <c:v>57</c:v>
                </c:pt>
                <c:pt idx="2">
                  <c:v>48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98-413A-9908-4F9AFAB4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Q4. </a:t>
            </a:r>
            <a:r>
              <a:rPr lang="ja-JP" altLang="en-US"/>
              <a:t>就活で不安なこと（複数選択可）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就活前_集計!$B$47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就活前_集計!$A$48:$A$57</c:f>
              <c:strCache>
                <c:ptCount val="10"/>
                <c:pt idx="0">
                  <c:v>面接</c:v>
                </c:pt>
                <c:pt idx="1">
                  <c:v>自己分析</c:v>
                </c:pt>
                <c:pt idx="2">
                  <c:v>ES（エントリーシート）</c:v>
                </c:pt>
                <c:pt idx="3">
                  <c:v>グループディスカッション</c:v>
                </c:pt>
                <c:pt idx="4">
                  <c:v>マナー</c:v>
                </c:pt>
                <c:pt idx="5">
                  <c:v>インターンシップ</c:v>
                </c:pt>
                <c:pt idx="6">
                  <c:v>企業研究</c:v>
                </c:pt>
                <c:pt idx="7">
                  <c:v>SPI・適性検査</c:v>
                </c:pt>
                <c:pt idx="8">
                  <c:v>業界研究</c:v>
                </c:pt>
                <c:pt idx="9">
                  <c:v>その他</c:v>
                </c:pt>
              </c:strCache>
            </c:strRef>
          </c:cat>
          <c:val>
            <c:numRef>
              <c:f>就活前_集計!$B$48:$B$57</c:f>
              <c:numCache>
                <c:formatCode>General</c:formatCode>
                <c:ptCount val="10"/>
                <c:pt idx="0">
                  <c:v>125</c:v>
                </c:pt>
                <c:pt idx="1">
                  <c:v>83</c:v>
                </c:pt>
                <c:pt idx="2">
                  <c:v>76</c:v>
                </c:pt>
                <c:pt idx="3">
                  <c:v>73</c:v>
                </c:pt>
                <c:pt idx="4">
                  <c:v>70</c:v>
                </c:pt>
                <c:pt idx="5">
                  <c:v>60</c:v>
                </c:pt>
                <c:pt idx="6">
                  <c:v>53</c:v>
                </c:pt>
                <c:pt idx="7">
                  <c:v>45</c:v>
                </c:pt>
                <c:pt idx="8">
                  <c:v>45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97-45F7-8966-739F91A1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Q5. </a:t>
            </a:r>
            <a:r>
              <a:rPr lang="ja-JP" altLang="en-US"/>
              <a:t>就活を始める前に知りたいこと（複数選択可）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就活前_集計!$B$65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就活前_集計!$A$66:$A$74</c:f>
              <c:strCache>
                <c:ptCount val="9"/>
                <c:pt idx="0">
                  <c:v>面接対策</c:v>
                </c:pt>
                <c:pt idx="1">
                  <c:v>就活スケジュール</c:v>
                </c:pt>
                <c:pt idx="2">
                  <c:v>インターン情報</c:v>
                </c:pt>
                <c:pt idx="3">
                  <c:v>ESの書き方</c:v>
                </c:pt>
                <c:pt idx="4">
                  <c:v>自己分析の方法</c:v>
                </c:pt>
                <c:pt idx="5">
                  <c:v>内定者の体験談</c:v>
                </c:pt>
                <c:pt idx="6">
                  <c:v>企業研究の方法</c:v>
                </c:pt>
                <c:pt idx="7">
                  <c:v>業界研究の方法</c:v>
                </c:pt>
                <c:pt idx="8">
                  <c:v>SPI対策</c:v>
                </c:pt>
              </c:strCache>
            </c:strRef>
          </c:cat>
          <c:val>
            <c:numRef>
              <c:f>就活前_集計!$B$66:$B$74</c:f>
              <c:numCache>
                <c:formatCode>General</c:formatCode>
                <c:ptCount val="9"/>
                <c:pt idx="0">
                  <c:v>114</c:v>
                </c:pt>
                <c:pt idx="1">
                  <c:v>108</c:v>
                </c:pt>
                <c:pt idx="2">
                  <c:v>87</c:v>
                </c:pt>
                <c:pt idx="3">
                  <c:v>83</c:v>
                </c:pt>
                <c:pt idx="4">
                  <c:v>82</c:v>
                </c:pt>
                <c:pt idx="5">
                  <c:v>61</c:v>
                </c:pt>
                <c:pt idx="6">
                  <c:v>58</c:v>
                </c:pt>
                <c:pt idx="7">
                  <c:v>52</c:v>
                </c:pt>
                <c:pt idx="8">
                  <c:v>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62-4C1E-8A34-12B123E5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Q6. 企業選びで重視する項目（3つ選択・複数選択可）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就活前_集計!$B$82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就活前_集計!$A$83:$A$94</c:f>
              <c:strCache>
                <c:ptCount val="12"/>
                <c:pt idx="0">
                  <c:v>給与</c:v>
                </c:pt>
                <c:pt idx="1">
                  <c:v>仕事内容</c:v>
                </c:pt>
                <c:pt idx="2">
                  <c:v>人間関係</c:v>
                </c:pt>
                <c:pt idx="3">
                  <c:v>福利厚生</c:v>
                </c:pt>
                <c:pt idx="4">
                  <c:v>ワークライフバランス</c:v>
                </c:pt>
                <c:pt idx="5">
                  <c:v>勤務地</c:v>
                </c:pt>
                <c:pt idx="6">
                  <c:v>安定性</c:v>
                </c:pt>
                <c:pt idx="7">
                  <c:v>社風</c:v>
                </c:pt>
                <c:pt idx="8">
                  <c:v>成長できる環境</c:v>
                </c:pt>
                <c:pt idx="9">
                  <c:v>転勤の有無</c:v>
                </c:pt>
                <c:pt idx="10">
                  <c:v>知名度</c:v>
                </c:pt>
                <c:pt idx="11">
                  <c:v>企業理念</c:v>
                </c:pt>
              </c:strCache>
            </c:strRef>
          </c:cat>
          <c:val>
            <c:numRef>
              <c:f>就活前_集計!$B$83:$B$94</c:f>
              <c:numCache>
                <c:formatCode>General</c:formatCode>
                <c:ptCount val="12"/>
                <c:pt idx="0">
                  <c:v>106</c:v>
                </c:pt>
                <c:pt idx="1">
                  <c:v>77</c:v>
                </c:pt>
                <c:pt idx="2">
                  <c:v>75</c:v>
                </c:pt>
                <c:pt idx="3">
                  <c:v>63</c:v>
                </c:pt>
                <c:pt idx="4">
                  <c:v>62</c:v>
                </c:pt>
                <c:pt idx="5">
                  <c:v>51</c:v>
                </c:pt>
                <c:pt idx="6">
                  <c:v>46</c:v>
                </c:pt>
                <c:pt idx="7">
                  <c:v>27</c:v>
                </c:pt>
                <c:pt idx="8">
                  <c:v>24</c:v>
                </c:pt>
                <c:pt idx="9">
                  <c:v>23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C7-46F6-84B1-655C4767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Q7. 岡山企業について知りたい情報（複数選択可）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就活前_集計!$B$102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就活前_集計!$A$103:$A$112</c:f>
              <c:strCache>
                <c:ptCount val="10"/>
                <c:pt idx="0">
                  <c:v>給与</c:v>
                </c:pt>
                <c:pt idx="1">
                  <c:v>仕事内容</c:v>
                </c:pt>
                <c:pt idx="2">
                  <c:v>福利厚生</c:v>
                </c:pt>
                <c:pt idx="3">
                  <c:v>社内の雰囲気</c:v>
                </c:pt>
                <c:pt idx="4">
                  <c:v>残業時間</c:v>
                </c:pt>
                <c:pt idx="5">
                  <c:v>有給取得率</c:v>
                </c:pt>
                <c:pt idx="6">
                  <c:v>若手社員の働き方</c:v>
                </c:pt>
                <c:pt idx="7">
                  <c:v>離職率</c:v>
                </c:pt>
                <c:pt idx="8">
                  <c:v>研修制度</c:v>
                </c:pt>
                <c:pt idx="9">
                  <c:v>キャリアパス</c:v>
                </c:pt>
              </c:strCache>
            </c:strRef>
          </c:cat>
          <c:val>
            <c:numRef>
              <c:f>就活前_集計!$B$103:$B$112</c:f>
              <c:numCache>
                <c:formatCode>General</c:formatCode>
                <c:ptCount val="10"/>
                <c:pt idx="0">
                  <c:v>113</c:v>
                </c:pt>
                <c:pt idx="1">
                  <c:v>108</c:v>
                </c:pt>
                <c:pt idx="2">
                  <c:v>77</c:v>
                </c:pt>
                <c:pt idx="3">
                  <c:v>75</c:v>
                </c:pt>
                <c:pt idx="4">
                  <c:v>50</c:v>
                </c:pt>
                <c:pt idx="5">
                  <c:v>45</c:v>
                </c:pt>
                <c:pt idx="6">
                  <c:v>43</c:v>
                </c:pt>
                <c:pt idx="7">
                  <c:v>32</c:v>
                </c:pt>
                <c:pt idx="8">
                  <c:v>27</c:v>
                </c:pt>
                <c:pt idx="9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45-4A1A-8456-5DC6C89A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Q8. 就活支援サイトに欲しい機能（複数選択可）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就活前_集計!$B$120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就活前_集計!$A$121:$A$129</c:f>
              <c:strCache>
                <c:ptCount val="9"/>
                <c:pt idx="0">
                  <c:v>面接質問集</c:v>
                </c:pt>
                <c:pt idx="1">
                  <c:v>企業比較機能</c:v>
                </c:pt>
                <c:pt idx="2">
                  <c:v>先輩体験談</c:v>
                </c:pt>
                <c:pt idx="3">
                  <c:v>ES例文</c:v>
                </c:pt>
                <c:pt idx="4">
                  <c:v>インターン情報</c:v>
                </c:pt>
                <c:pt idx="5">
                  <c:v>企業検索機能</c:v>
                </c:pt>
                <c:pt idx="6">
                  <c:v>SPI対策</c:v>
                </c:pt>
                <c:pt idx="7">
                  <c:v>OB・OG訪問情報</c:v>
                </c:pt>
                <c:pt idx="8">
                  <c:v>動画コンテンツ</c:v>
                </c:pt>
              </c:strCache>
            </c:strRef>
          </c:cat>
          <c:val>
            <c:numRef>
              <c:f>就活前_集計!$B$121:$B$129</c:f>
              <c:numCache>
                <c:formatCode>General</c:formatCode>
                <c:ptCount val="9"/>
                <c:pt idx="0">
                  <c:v>106</c:v>
                </c:pt>
                <c:pt idx="1">
                  <c:v>79</c:v>
                </c:pt>
                <c:pt idx="2">
                  <c:v>77</c:v>
                </c:pt>
                <c:pt idx="3">
                  <c:v>76</c:v>
                </c:pt>
                <c:pt idx="4">
                  <c:v>74</c:v>
                </c:pt>
                <c:pt idx="5">
                  <c:v>68</c:v>
                </c:pt>
                <c:pt idx="6">
                  <c:v>53</c:v>
                </c:pt>
                <c:pt idx="7">
                  <c:v>29</c:v>
                </c:pt>
                <c:pt idx="8">
                  <c:v>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55-40BB-8032-BAE3CF46A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Q1. </a:t>
            </a:r>
            <a:r>
              <a:rPr lang="ja-JP" altLang="en-US"/>
              <a:t>卒業年度を教えてください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就活経験者_集計!$B$5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就活経験者_集計!$A$6</c:f>
              <c:strCache>
                <c:ptCount val="1"/>
                <c:pt idx="0">
                  <c:v>28卒</c:v>
                </c:pt>
              </c:strCache>
            </c:strRef>
          </c:cat>
          <c:val>
            <c:numRef>
              <c:f>就活経験者_集計!$B$6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ED-4413-8EB5-36BEBB6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Q2. </a:t>
            </a:r>
            <a:r>
              <a:rPr lang="ja-JP" altLang="en-US"/>
              <a:t>就職先の業界を教えてください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就活経験者_集計!$B$19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就活経験者_集計!$A$20:$A$23</c:f>
              <c:strCache>
                <c:ptCount val="4"/>
                <c:pt idx="0">
                  <c:v>公務員</c:v>
                </c:pt>
                <c:pt idx="1">
                  <c:v>IT</c:v>
                </c:pt>
                <c:pt idx="2">
                  <c:v>メーカー</c:v>
                </c:pt>
                <c:pt idx="3">
                  <c:v>金融</c:v>
                </c:pt>
              </c:strCache>
            </c:strRef>
          </c:cat>
          <c:val>
            <c:numRef>
              <c:f>就活経験者_集計!$B$20:$B$23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7A-4234-BAA6-EE84F949B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Q3. </a:t>
            </a:r>
            <a:r>
              <a:rPr lang="ja-JP" altLang="en-US"/>
              <a:t>就職先はどこですか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就活経験者_集計!$B$33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就活経験者_集計!$A$34:$A$35</c:f>
              <c:strCache>
                <c:ptCount val="2"/>
                <c:pt idx="0">
                  <c:v>岡山県外</c:v>
                </c:pt>
                <c:pt idx="1">
                  <c:v>岡山県内</c:v>
                </c:pt>
              </c:strCache>
            </c:strRef>
          </c:cat>
          <c:val>
            <c:numRef>
              <c:f>就活経験者_集計!$B$34:$B$35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7C-4FF9-96BA-3E486884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Q4. </a:t>
            </a:r>
            <a:r>
              <a:rPr lang="ja-JP" altLang="en-US"/>
              <a:t>なぜその地域を選びましたか（複数選択可）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就活経験者_集計!$B$47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就活経験者_集計!$A$48:$A$56</c:f>
              <c:strCache>
                <c:ptCount val="9"/>
                <c:pt idx="0">
                  <c:v>給与・待遇が良かった</c:v>
                </c:pt>
                <c:pt idx="1">
                  <c:v>企業の魅力を感じた</c:v>
                </c:pt>
                <c:pt idx="2">
                  <c:v>地元で働きたかった</c:v>
                </c:pt>
                <c:pt idx="3">
                  <c:v>家族の近くにいたかった</c:v>
                </c:pt>
                <c:pt idx="4">
                  <c:v>働きやすい環境があった</c:v>
                </c:pt>
                <c:pt idx="5">
                  <c:v>交通アクセスが良かった</c:v>
                </c:pt>
                <c:pt idx="6">
                  <c:v>特に理由はない</c:v>
                </c:pt>
                <c:pt idx="7">
                  <c:v>希望する業界・職種の求人があった</c:v>
                </c:pt>
                <c:pt idx="8">
                  <c:v>生活コストが低い地域を選んだ</c:v>
                </c:pt>
              </c:strCache>
            </c:strRef>
          </c:cat>
          <c:val>
            <c:numRef>
              <c:f>就活経験者_集計!$B$48:$B$56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AC-46F9-8A0F-5EDC864C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Q5. </a:t>
            </a:r>
            <a:r>
              <a:rPr lang="ja-JP" altLang="en-US"/>
              <a:t>就活を本格的に始めた時期を教えてください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就活経験者_集計!$B$64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就活経験者_集計!$A$65:$A$67</c:f>
              <c:strCache>
                <c:ptCount val="3"/>
                <c:pt idx="0">
                  <c:v>大学3年後半</c:v>
                </c:pt>
                <c:pt idx="1">
                  <c:v>大学3年前半</c:v>
                </c:pt>
                <c:pt idx="2">
                  <c:v>大学4年前半</c:v>
                </c:pt>
              </c:strCache>
            </c:strRef>
          </c:cat>
          <c:val>
            <c:numRef>
              <c:f>就活経験者_集計!$B$65:$B$67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6A-4363-B40F-265D9EF4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Q6. やっておいて良かったこと（複数選択可）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就活経験者_集計!$B$78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就活経験者_集計!$A$79:$A$87</c:f>
              <c:strCache>
                <c:ptCount val="9"/>
                <c:pt idx="0">
                  <c:v>インターン参加</c:v>
                </c:pt>
                <c:pt idx="1">
                  <c:v>面接練習</c:v>
                </c:pt>
                <c:pt idx="2">
                  <c:v>自己分析</c:v>
                </c:pt>
                <c:pt idx="3">
                  <c:v>企業研究</c:v>
                </c:pt>
                <c:pt idx="4">
                  <c:v>SPI対策</c:v>
                </c:pt>
                <c:pt idx="5">
                  <c:v>ガクチカ作り</c:v>
                </c:pt>
                <c:pt idx="6">
                  <c:v>業界研究</c:v>
                </c:pt>
                <c:pt idx="7">
                  <c:v>OB・OG訪問</c:v>
                </c:pt>
                <c:pt idx="8">
                  <c:v>資格取得</c:v>
                </c:pt>
              </c:strCache>
            </c:strRef>
          </c:cat>
          <c:val>
            <c:numRef>
              <c:f>就活経験者_集計!$B$79:$B$87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80-4335-A551-15873B6C8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Q7. 後悔していること（複数選択可）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就活経験者_集計!$B$95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就活経験者_集計!$A$96:$A$104</c:f>
              <c:strCache>
                <c:ptCount val="9"/>
                <c:pt idx="0">
                  <c:v>就活開始が遅かった</c:v>
                </c:pt>
                <c:pt idx="1">
                  <c:v>インターン未参加</c:v>
                </c:pt>
                <c:pt idx="2">
                  <c:v>特になし</c:v>
                </c:pt>
                <c:pt idx="3">
                  <c:v>SPI対策不足</c:v>
                </c:pt>
                <c:pt idx="4">
                  <c:v>面接練習不足</c:v>
                </c:pt>
                <c:pt idx="5">
                  <c:v>業界研究不足</c:v>
                </c:pt>
                <c:pt idx="6">
                  <c:v>ガクチカ作り</c:v>
                </c:pt>
                <c:pt idx="7">
                  <c:v>企業研究不足</c:v>
                </c:pt>
                <c:pt idx="8">
                  <c:v>ES対策不足</c:v>
                </c:pt>
              </c:strCache>
            </c:strRef>
          </c:cat>
          <c:val>
            <c:numRef>
              <c:f>就活経験者_集計!$B$96:$B$104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E4-4C1E-90D9-9D138D8BC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t>Q8. 面接で実際によく聞かれた質問（複数選択可）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"/>
          <c:y val="0.16"/>
          <c:w val="0.56999999999999995"/>
          <c:h val="0.7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就活経験者_集計!$B$112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就活経験者_集計!$A$113:$A$121</c:f>
              <c:strCache>
                <c:ptCount val="9"/>
                <c:pt idx="0">
                  <c:v>学生時代に力を入れたこと</c:v>
                </c:pt>
                <c:pt idx="1">
                  <c:v>志望動機</c:v>
                </c:pt>
                <c:pt idx="2">
                  <c:v>自己PR</c:v>
                </c:pt>
                <c:pt idx="3">
                  <c:v>逆質問</c:v>
                </c:pt>
                <c:pt idx="4">
                  <c:v>長所・短所</c:v>
                </c:pt>
                <c:pt idx="5">
                  <c:v>挫折経験</c:v>
                </c:pt>
                <c:pt idx="6">
                  <c:v>リーダー経験</c:v>
                </c:pt>
                <c:pt idx="7">
                  <c:v>チーム活動経験</c:v>
                </c:pt>
                <c:pt idx="8">
                  <c:v>将来のキャリアプラン</c:v>
                </c:pt>
              </c:strCache>
            </c:strRef>
          </c:cat>
          <c:val>
            <c:numRef>
              <c:f>就活経験者_集計!$B$113:$B$121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B3-4D1F-8F92-6609952A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企業選びで重視する項目 </a:t>
            </a:r>
            <a:r>
              <a:rPr lang="en-US"/>
              <a:t>Top5（</a:t>
            </a:r>
            <a:r>
              <a:rPr lang="ja-JP" altLang="en-US"/>
              <a:t>就活前学生）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32"/>
          <c:y val="0.16"/>
          <c:w val="0.64"/>
          <c:h val="0.7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比較・示唆!$B$13</c:f>
              <c:strCache>
                <c:ptCount val="1"/>
                <c:pt idx="0">
                  <c:v>回答数</c:v>
                </c:pt>
              </c:strCache>
            </c:strRef>
          </c:tx>
          <c:spPr>
            <a:solidFill>
              <a:srgbClr val="2E74B5"/>
            </a:solidFill>
            <a:ln>
              <a:noFill/>
              <a:prstDash val="solid"/>
            </a:ln>
          </c:spPr>
          <c:invertIfNegative val="1"/>
          <c:cat>
            <c:strRef>
              <c:f>比較・示唆!$A$14:$A$18</c:f>
              <c:strCache>
                <c:ptCount val="5"/>
                <c:pt idx="0">
                  <c:v>給与</c:v>
                </c:pt>
                <c:pt idx="1">
                  <c:v>仕事内容</c:v>
                </c:pt>
                <c:pt idx="2">
                  <c:v>人間関係</c:v>
                </c:pt>
                <c:pt idx="3">
                  <c:v>福利厚生</c:v>
                </c:pt>
                <c:pt idx="4">
                  <c:v>ワークライフバランス</c:v>
                </c:pt>
              </c:strCache>
            </c:strRef>
          </c:cat>
          <c:val>
            <c:numRef>
              <c:f>比較・示唆!$B$14:$B$18</c:f>
              <c:numCache>
                <c:formatCode>General</c:formatCode>
                <c:ptCount val="5"/>
                <c:pt idx="0">
                  <c:v>106</c:v>
                </c:pt>
                <c:pt idx="1">
                  <c:v>77</c:v>
                </c:pt>
                <c:pt idx="2">
                  <c:v>75</c:v>
                </c:pt>
                <c:pt idx="3">
                  <c:v>63</c:v>
                </c:pt>
                <c:pt idx="4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98-46FE-B534-20042375A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0</xdr:rowOff>
    </xdr:from>
    <xdr:ext cx="7920000" cy="16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31</xdr:row>
      <xdr:rowOff>0</xdr:rowOff>
    </xdr:from>
    <xdr:ext cx="7920000" cy="18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45</xdr:row>
      <xdr:rowOff>0</xdr:rowOff>
    </xdr:from>
    <xdr:ext cx="7920000" cy="16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58</xdr:row>
      <xdr:rowOff>0</xdr:rowOff>
    </xdr:from>
    <xdr:ext cx="7920000" cy="16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71</xdr:row>
      <xdr:rowOff>0</xdr:rowOff>
    </xdr:from>
    <xdr:ext cx="7920000" cy="18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2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720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72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46</xdr:row>
      <xdr:rowOff>0</xdr:rowOff>
    </xdr:from>
    <xdr:ext cx="72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64</xdr:row>
      <xdr:rowOff>0</xdr:rowOff>
    </xdr:from>
    <xdr:ext cx="7200000" cy="2664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81</xdr:row>
      <xdr:rowOff>0</xdr:rowOff>
    </xdr:from>
    <xdr:ext cx="7200000" cy="3311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101</xdr:row>
      <xdr:rowOff>0</xdr:rowOff>
    </xdr:from>
    <xdr:ext cx="720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0</xdr:colOff>
      <xdr:row>119</xdr:row>
      <xdr:rowOff>0</xdr:rowOff>
    </xdr:from>
    <xdr:ext cx="7200000" cy="266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2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720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72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46</xdr:row>
      <xdr:rowOff>0</xdr:rowOff>
    </xdr:from>
    <xdr:ext cx="7200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63</xdr:row>
      <xdr:rowOff>0</xdr:rowOff>
    </xdr:from>
    <xdr:ext cx="720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77</xdr:row>
      <xdr:rowOff>0</xdr:rowOff>
    </xdr:from>
    <xdr:ext cx="7200000" cy="266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94</xdr:row>
      <xdr:rowOff>0</xdr:rowOff>
    </xdr:from>
    <xdr:ext cx="7200000" cy="2664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0</xdr:colOff>
      <xdr:row>111</xdr:row>
      <xdr:rowOff>0</xdr:rowOff>
    </xdr:from>
    <xdr:ext cx="7200000" cy="266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showGridLines="0" tabSelected="1" topLeftCell="A3" workbookViewId="0">
      <selection sqref="A1:K1"/>
    </sheetView>
  </sheetViews>
  <sheetFormatPr defaultRowHeight="13" x14ac:dyDescent="0.2"/>
  <cols>
    <col min="1" max="1" width="4" customWidth="1"/>
    <col min="2" max="2" width="46" customWidth="1"/>
    <col min="3" max="4" width="17" customWidth="1"/>
    <col min="5" max="5" width="26" customWidth="1"/>
    <col min="6" max="6" width="12" customWidth="1"/>
    <col min="7" max="7" width="3" customWidth="1"/>
    <col min="8" max="11" width="2" customWidth="1"/>
  </cols>
  <sheetData>
    <row r="1" spans="1:11" ht="30" customHeight="1" x14ac:dyDescent="0.2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14" x14ac:dyDescent="0.3">
      <c r="B3" s="1" t="s">
        <v>1</v>
      </c>
      <c r="C3" s="2" t="s">
        <v>2</v>
      </c>
    </row>
    <row r="4" spans="1:11" ht="14" x14ac:dyDescent="0.3">
      <c r="B4" s="1" t="s">
        <v>3</v>
      </c>
      <c r="C4" s="2" t="s">
        <v>4</v>
      </c>
    </row>
    <row r="5" spans="1:11" ht="14" x14ac:dyDescent="0.3">
      <c r="B5" s="1" t="s">
        <v>5</v>
      </c>
      <c r="C5" s="3" t="s">
        <v>6</v>
      </c>
    </row>
    <row r="7" spans="1:11" ht="20" customHeight="1" x14ac:dyDescent="0.2">
      <c r="A7" s="28" t="s">
        <v>7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20" customHeight="1" x14ac:dyDescent="0.2">
      <c r="B8" s="4" t="s">
        <v>8</v>
      </c>
      <c r="C8" s="4" t="s">
        <v>9</v>
      </c>
      <c r="D8" s="4" t="s">
        <v>10</v>
      </c>
    </row>
    <row r="9" spans="1:11" ht="22" customHeight="1" x14ac:dyDescent="0.2">
      <c r="B9" s="5" t="s">
        <v>11</v>
      </c>
      <c r="C9" s="6">
        <f>就活前_集計!$B$4</f>
        <v>142</v>
      </c>
      <c r="D9" s="6">
        <f>就活経験者_集計!$B$4</f>
        <v>6</v>
      </c>
    </row>
    <row r="10" spans="1:11" ht="22" customHeight="1" x14ac:dyDescent="0.2">
      <c r="B10" s="5" t="s">
        <v>12</v>
      </c>
      <c r="C10" s="7" t="s">
        <v>13</v>
      </c>
      <c r="D10" s="7" t="s">
        <v>14</v>
      </c>
    </row>
    <row r="11" spans="1:11" ht="22" customHeight="1" x14ac:dyDescent="0.2">
      <c r="B11" s="5" t="s">
        <v>15</v>
      </c>
      <c r="C11" s="6">
        <f>就活前_集計!$C$20</f>
        <v>0.89436619718309862</v>
      </c>
      <c r="D11" s="7" t="s">
        <v>16</v>
      </c>
    </row>
    <row r="12" spans="1:11" ht="22" customHeight="1" x14ac:dyDescent="0.2">
      <c r="B12" s="5" t="s">
        <v>17</v>
      </c>
      <c r="C12" s="6">
        <f>(就活前_集計!$B$34+就活前_集計!$B$35)/就活前_集計!$B$4</f>
        <v>0.57746478873239437</v>
      </c>
      <c r="D12" s="7" t="s">
        <v>16</v>
      </c>
    </row>
    <row r="13" spans="1:11" ht="22" customHeight="1" x14ac:dyDescent="0.2">
      <c r="B13" s="5" t="s">
        <v>18</v>
      </c>
      <c r="C13" s="7" t="s">
        <v>16</v>
      </c>
      <c r="D13" s="6">
        <f>就活経験者_集計!$C$35</f>
        <v>0.16666666666666666</v>
      </c>
    </row>
    <row r="14" spans="1:11" ht="22" customHeight="1" x14ac:dyDescent="0.2">
      <c r="B14" s="5" t="s">
        <v>19</v>
      </c>
      <c r="C14" s="6">
        <f>就活前_集計!$C$48</f>
        <v>0.88028169014084512</v>
      </c>
      <c r="D14" s="7" t="s">
        <v>16</v>
      </c>
    </row>
    <row r="16" spans="1:11" ht="20" customHeight="1" x14ac:dyDescent="0.2">
      <c r="A16" s="28" t="s">
        <v>20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2:7" ht="20" customHeight="1" x14ac:dyDescent="0.2">
      <c r="B17" s="24" t="s">
        <v>21</v>
      </c>
      <c r="C17" s="25"/>
      <c r="D17" s="25"/>
      <c r="E17" s="25"/>
      <c r="F17" s="25"/>
      <c r="G17" s="25"/>
    </row>
    <row r="18" spans="2:7" ht="44" customHeight="1" x14ac:dyDescent="0.2">
      <c r="B18" s="29" t="s">
        <v>22</v>
      </c>
      <c r="C18" s="25"/>
      <c r="D18" s="25"/>
      <c r="E18" s="25"/>
      <c r="F18" s="25"/>
      <c r="G18" s="25"/>
    </row>
    <row r="19" spans="2:7" ht="16" customHeight="1" x14ac:dyDescent="0.2">
      <c r="B19" s="27" t="s">
        <v>23</v>
      </c>
      <c r="C19" s="25"/>
      <c r="D19" s="25"/>
      <c r="E19" s="25"/>
      <c r="F19" s="25"/>
      <c r="G19" s="25"/>
    </row>
    <row r="20" spans="2:7" ht="18" customHeight="1" x14ac:dyDescent="0.2">
      <c r="B20" s="4" t="s">
        <v>8</v>
      </c>
      <c r="C20" s="4" t="s">
        <v>24</v>
      </c>
    </row>
    <row r="21" spans="2:7" ht="24" customHeight="1" x14ac:dyDescent="0.2">
      <c r="B21" s="8" t="s">
        <v>25</v>
      </c>
      <c r="C21" s="9">
        <f>就活前_集計!$C$48</f>
        <v>0.88028169014084512</v>
      </c>
    </row>
    <row r="22" spans="2:7" ht="24" customHeight="1" x14ac:dyDescent="0.2">
      <c r="B22" s="8" t="s">
        <v>26</v>
      </c>
      <c r="C22" s="9">
        <f>就活経験者_集計!$C$80</f>
        <v>0.66666666666666663</v>
      </c>
    </row>
    <row r="30" spans="2:7" ht="20" customHeight="1" x14ac:dyDescent="0.2">
      <c r="B30" s="24" t="s">
        <v>27</v>
      </c>
      <c r="C30" s="25"/>
      <c r="D30" s="25"/>
      <c r="E30" s="25"/>
      <c r="F30" s="25"/>
      <c r="G30" s="25"/>
    </row>
    <row r="31" spans="2:7" ht="44" customHeight="1" x14ac:dyDescent="0.2">
      <c r="B31" s="29" t="s">
        <v>28</v>
      </c>
      <c r="C31" s="25"/>
      <c r="D31" s="25"/>
      <c r="E31" s="25"/>
      <c r="F31" s="25"/>
      <c r="G31" s="25"/>
    </row>
    <row r="32" spans="2:7" ht="16" customHeight="1" x14ac:dyDescent="0.2">
      <c r="B32" s="27" t="s">
        <v>23</v>
      </c>
      <c r="C32" s="25"/>
      <c r="D32" s="25"/>
      <c r="E32" s="25"/>
      <c r="F32" s="25"/>
      <c r="G32" s="25"/>
    </row>
    <row r="33" spans="2:7" ht="18" customHeight="1" x14ac:dyDescent="0.2">
      <c r="B33" s="4" t="s">
        <v>8</v>
      </c>
      <c r="C33" s="4" t="s">
        <v>24</v>
      </c>
    </row>
    <row r="34" spans="2:7" ht="24" customHeight="1" x14ac:dyDescent="0.2">
      <c r="B34" s="8" t="s">
        <v>29</v>
      </c>
      <c r="C34" s="9">
        <f>就活前_集計!$C$20</f>
        <v>0.89436619718309862</v>
      </c>
    </row>
    <row r="35" spans="2:7" ht="24" customHeight="1" x14ac:dyDescent="0.2">
      <c r="B35" s="8" t="s">
        <v>30</v>
      </c>
      <c r="C35" s="9">
        <f>就活経験者_集計!$C$65</f>
        <v>0.66666666666666663</v>
      </c>
    </row>
    <row r="36" spans="2:7" ht="24" customHeight="1" x14ac:dyDescent="0.2">
      <c r="B36" s="8" t="s">
        <v>31</v>
      </c>
      <c r="C36" s="9">
        <f>就活経験者_集計!$C$96</f>
        <v>0.33333333333333331</v>
      </c>
    </row>
    <row r="44" spans="2:7" ht="20" customHeight="1" x14ac:dyDescent="0.2">
      <c r="B44" s="24" t="s">
        <v>32</v>
      </c>
      <c r="C44" s="25"/>
      <c r="D44" s="25"/>
      <c r="E44" s="25"/>
      <c r="F44" s="25"/>
      <c r="G44" s="25"/>
    </row>
    <row r="45" spans="2:7" ht="44" customHeight="1" x14ac:dyDescent="0.2">
      <c r="B45" s="29" t="s">
        <v>33</v>
      </c>
      <c r="C45" s="25"/>
      <c r="D45" s="25"/>
      <c r="E45" s="25"/>
      <c r="F45" s="25"/>
      <c r="G45" s="25"/>
    </row>
    <row r="46" spans="2:7" ht="16" customHeight="1" x14ac:dyDescent="0.2">
      <c r="B46" s="27" t="s">
        <v>23</v>
      </c>
      <c r="C46" s="25"/>
      <c r="D46" s="25"/>
      <c r="E46" s="25"/>
      <c r="F46" s="25"/>
      <c r="G46" s="25"/>
    </row>
    <row r="47" spans="2:7" ht="18" customHeight="1" x14ac:dyDescent="0.2">
      <c r="B47" s="4" t="s">
        <v>8</v>
      </c>
      <c r="C47" s="4" t="s">
        <v>24</v>
      </c>
    </row>
    <row r="48" spans="2:7" ht="24" customHeight="1" x14ac:dyDescent="0.2">
      <c r="B48" s="8" t="s">
        <v>34</v>
      </c>
      <c r="C48" s="9">
        <f>就活前_集計!$C$34+就活前_集計!$C$35</f>
        <v>0.57746478873239437</v>
      </c>
    </row>
    <row r="49" spans="2:7" ht="24" customHeight="1" x14ac:dyDescent="0.2">
      <c r="B49" s="8" t="s">
        <v>35</v>
      </c>
      <c r="C49" s="9">
        <f>就活経験者_集計!$C$35</f>
        <v>0.16666666666666666</v>
      </c>
    </row>
    <row r="57" spans="2:7" ht="20" customHeight="1" x14ac:dyDescent="0.2">
      <c r="B57" s="24" t="s">
        <v>36</v>
      </c>
      <c r="C57" s="25"/>
      <c r="D57" s="25"/>
      <c r="E57" s="25"/>
      <c r="F57" s="25"/>
      <c r="G57" s="25"/>
    </row>
    <row r="58" spans="2:7" ht="44" customHeight="1" x14ac:dyDescent="0.2">
      <c r="B58" s="29" t="s">
        <v>37</v>
      </c>
      <c r="C58" s="25"/>
      <c r="D58" s="25"/>
      <c r="E58" s="25"/>
      <c r="F58" s="25"/>
      <c r="G58" s="25"/>
    </row>
    <row r="59" spans="2:7" ht="16" customHeight="1" x14ac:dyDescent="0.2">
      <c r="B59" s="27" t="s">
        <v>23</v>
      </c>
      <c r="C59" s="25"/>
      <c r="D59" s="25"/>
      <c r="E59" s="25"/>
      <c r="F59" s="25"/>
      <c r="G59" s="25"/>
    </row>
    <row r="60" spans="2:7" ht="18" customHeight="1" x14ac:dyDescent="0.2">
      <c r="B60" s="4" t="s">
        <v>8</v>
      </c>
      <c r="C60" s="4" t="s">
        <v>24</v>
      </c>
    </row>
    <row r="61" spans="2:7" ht="24" customHeight="1" x14ac:dyDescent="0.2">
      <c r="B61" s="8" t="s">
        <v>38</v>
      </c>
      <c r="C61" s="9">
        <f>就活経験者_集計!$C$113</f>
        <v>1</v>
      </c>
    </row>
    <row r="62" spans="2:7" ht="24" customHeight="1" x14ac:dyDescent="0.2">
      <c r="B62" s="8" t="s">
        <v>39</v>
      </c>
      <c r="C62" s="9">
        <f>就活経験者_集計!$C$114</f>
        <v>1</v>
      </c>
    </row>
    <row r="70" spans="2:7" ht="20" customHeight="1" x14ac:dyDescent="0.2">
      <c r="B70" s="24" t="s">
        <v>40</v>
      </c>
      <c r="C70" s="25"/>
      <c r="D70" s="25"/>
      <c r="E70" s="25"/>
      <c r="F70" s="25"/>
      <c r="G70" s="25"/>
    </row>
    <row r="71" spans="2:7" ht="44" customHeight="1" x14ac:dyDescent="0.2">
      <c r="B71" s="29" t="s">
        <v>41</v>
      </c>
      <c r="C71" s="25"/>
      <c r="D71" s="25"/>
      <c r="E71" s="25"/>
      <c r="F71" s="25"/>
      <c r="G71" s="25"/>
    </row>
    <row r="72" spans="2:7" ht="16" customHeight="1" x14ac:dyDescent="0.2">
      <c r="B72" s="27" t="s">
        <v>23</v>
      </c>
      <c r="C72" s="25"/>
      <c r="D72" s="25"/>
      <c r="E72" s="25"/>
      <c r="F72" s="25"/>
      <c r="G72" s="25"/>
    </row>
    <row r="73" spans="2:7" ht="18" customHeight="1" x14ac:dyDescent="0.2">
      <c r="B73" s="4" t="s">
        <v>8</v>
      </c>
      <c r="C73" s="4" t="s">
        <v>24</v>
      </c>
    </row>
    <row r="74" spans="2:7" ht="24" customHeight="1" x14ac:dyDescent="0.2">
      <c r="B74" s="8" t="s">
        <v>42</v>
      </c>
      <c r="C74" s="9">
        <f>就活前_集計!$C$83</f>
        <v>0.74647887323943662</v>
      </c>
    </row>
    <row r="75" spans="2:7" ht="24" customHeight="1" x14ac:dyDescent="0.2">
      <c r="B75" s="8" t="s">
        <v>43</v>
      </c>
      <c r="C75" s="9">
        <f>就活前_集計!$C$103</f>
        <v>0.79577464788732399</v>
      </c>
    </row>
    <row r="76" spans="2:7" ht="24" customHeight="1" x14ac:dyDescent="0.2">
      <c r="B76" s="8" t="s">
        <v>44</v>
      </c>
      <c r="C76" s="9">
        <f>就活経験者_集計!$C$48</f>
        <v>0.5</v>
      </c>
    </row>
    <row r="85" spans="1:11" ht="20" customHeight="1" x14ac:dyDescent="0.2">
      <c r="A85" s="28" t="s">
        <v>45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3.5" x14ac:dyDescent="0.25">
      <c r="B86" s="2" t="s">
        <v>46</v>
      </c>
    </row>
    <row r="87" spans="1:11" ht="13.5" x14ac:dyDescent="0.25">
      <c r="B87" s="2" t="s">
        <v>47</v>
      </c>
    </row>
    <row r="88" spans="1:11" ht="13.5" x14ac:dyDescent="0.25">
      <c r="B88" s="2" t="s">
        <v>48</v>
      </c>
    </row>
    <row r="89" spans="1:11" ht="13.5" x14ac:dyDescent="0.25">
      <c r="B89" s="2" t="s">
        <v>49</v>
      </c>
    </row>
    <row r="90" spans="1:11" ht="13.5" x14ac:dyDescent="0.25">
      <c r="B90" s="2" t="s">
        <v>50</v>
      </c>
    </row>
    <row r="91" spans="1:11" ht="13.5" x14ac:dyDescent="0.25">
      <c r="B91" s="2" t="s">
        <v>51</v>
      </c>
    </row>
  </sheetData>
  <mergeCells count="19">
    <mergeCell ref="A85:K85"/>
    <mergeCell ref="B72:G72"/>
    <mergeCell ref="B46:G46"/>
    <mergeCell ref="B59:G59"/>
    <mergeCell ref="B31:G31"/>
    <mergeCell ref="B71:G71"/>
    <mergeCell ref="B58:G58"/>
    <mergeCell ref="B70:G70"/>
    <mergeCell ref="B17:G17"/>
    <mergeCell ref="B57:G57"/>
    <mergeCell ref="B44:G44"/>
    <mergeCell ref="A1:K1"/>
    <mergeCell ref="B19:G19"/>
    <mergeCell ref="A7:K7"/>
    <mergeCell ref="A16:K16"/>
    <mergeCell ref="B30:G30"/>
    <mergeCell ref="B45:G45"/>
    <mergeCell ref="B32:G32"/>
    <mergeCell ref="B18:G18"/>
  </mergeCells>
  <phoneticPr fontId="1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0"/>
  <sheetViews>
    <sheetView showGridLines="0" workbookViewId="0">
      <pane ySplit="2" topLeftCell="A3" activePane="bottomLeft" state="frozen"/>
      <selection pane="bottomLeft" sqref="A1:L1"/>
    </sheetView>
  </sheetViews>
  <sheetFormatPr defaultRowHeight="13" x14ac:dyDescent="0.2"/>
  <cols>
    <col min="1" max="1" width="40" customWidth="1"/>
    <col min="2" max="3" width="10" customWidth="1"/>
    <col min="4" max="4" width="3" customWidth="1"/>
    <col min="5" max="14" width="14" customWidth="1"/>
  </cols>
  <sheetData>
    <row r="1" spans="1:12" ht="26" customHeight="1" x14ac:dyDescent="0.2">
      <c r="A1" s="26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 customHeight="1" x14ac:dyDescent="0.2">
      <c r="A3" s="30" t="s">
        <v>53</v>
      </c>
      <c r="B3" s="25"/>
      <c r="C3" s="25"/>
      <c r="D3" s="25"/>
      <c r="E3" s="25"/>
      <c r="F3" s="25"/>
    </row>
    <row r="4" spans="1:12" ht="14" x14ac:dyDescent="0.3">
      <c r="A4" s="1" t="s">
        <v>54</v>
      </c>
      <c r="B4" s="10">
        <v>142</v>
      </c>
    </row>
    <row r="5" spans="1:12" x14ac:dyDescent="0.2">
      <c r="A5" s="11" t="s">
        <v>8</v>
      </c>
      <c r="B5" s="11" t="s">
        <v>55</v>
      </c>
      <c r="C5" s="11" t="s">
        <v>24</v>
      </c>
    </row>
    <row r="6" spans="1:12" ht="13.5" x14ac:dyDescent="0.25">
      <c r="A6" s="12" t="s">
        <v>56</v>
      </c>
      <c r="B6" s="13">
        <v>125</v>
      </c>
      <c r="C6" s="14">
        <f>B6/$B$4</f>
        <v>0.88028169014084512</v>
      </c>
    </row>
    <row r="7" spans="1:12" ht="13.5" x14ac:dyDescent="0.25">
      <c r="A7" s="15" t="s">
        <v>57</v>
      </c>
      <c r="B7" s="16">
        <v>9</v>
      </c>
      <c r="C7" s="17">
        <f>B7/$B$4</f>
        <v>6.3380281690140844E-2</v>
      </c>
    </row>
    <row r="8" spans="1:12" ht="13.5" x14ac:dyDescent="0.25">
      <c r="A8" s="12" t="s">
        <v>58</v>
      </c>
      <c r="B8" s="13">
        <v>8</v>
      </c>
      <c r="C8" s="14">
        <f>B8/$B$4</f>
        <v>5.6338028169014086E-2</v>
      </c>
    </row>
    <row r="9" spans="1:12" ht="14" x14ac:dyDescent="0.3">
      <c r="A9" s="18" t="s">
        <v>59</v>
      </c>
    </row>
    <row r="17" spans="1:6" ht="18" customHeight="1" x14ac:dyDescent="0.2">
      <c r="A17" s="30" t="s">
        <v>60</v>
      </c>
      <c r="B17" s="25"/>
      <c r="C17" s="25"/>
      <c r="D17" s="25"/>
      <c r="E17" s="25"/>
      <c r="F17" s="25"/>
    </row>
    <row r="18" spans="1:6" ht="14" x14ac:dyDescent="0.3">
      <c r="A18" s="1" t="s">
        <v>54</v>
      </c>
      <c r="B18" s="10">
        <v>142</v>
      </c>
    </row>
    <row r="19" spans="1:6" x14ac:dyDescent="0.2">
      <c r="A19" s="11" t="s">
        <v>8</v>
      </c>
      <c r="B19" s="11" t="s">
        <v>55</v>
      </c>
      <c r="C19" s="11" t="s">
        <v>24</v>
      </c>
    </row>
    <row r="20" spans="1:6" ht="13.5" x14ac:dyDescent="0.25">
      <c r="A20" s="12" t="s">
        <v>61</v>
      </c>
      <c r="B20" s="13">
        <v>127</v>
      </c>
      <c r="C20" s="14">
        <f>B20/$B$18</f>
        <v>0.89436619718309862</v>
      </c>
    </row>
    <row r="21" spans="1:6" ht="13.5" x14ac:dyDescent="0.25">
      <c r="A21" s="15" t="s">
        <v>62</v>
      </c>
      <c r="B21" s="16">
        <v>15</v>
      </c>
      <c r="C21" s="17">
        <f>B21/$B$18</f>
        <v>0.10563380281690141</v>
      </c>
    </row>
    <row r="22" spans="1:6" ht="14" x14ac:dyDescent="0.3">
      <c r="A22" s="18" t="s">
        <v>63</v>
      </c>
    </row>
    <row r="31" spans="1:6" ht="18" customHeight="1" x14ac:dyDescent="0.2">
      <c r="A31" s="30" t="s">
        <v>64</v>
      </c>
      <c r="B31" s="25"/>
      <c r="C31" s="25"/>
      <c r="D31" s="25"/>
      <c r="E31" s="25"/>
      <c r="F31" s="25"/>
    </row>
    <row r="32" spans="1:6" ht="14" x14ac:dyDescent="0.3">
      <c r="A32" s="1" t="s">
        <v>54</v>
      </c>
      <c r="B32" s="10">
        <v>142</v>
      </c>
    </row>
    <row r="33" spans="1:6" x14ac:dyDescent="0.2">
      <c r="A33" s="11" t="s">
        <v>8</v>
      </c>
      <c r="B33" s="11" t="s">
        <v>55</v>
      </c>
      <c r="C33" s="11" t="s">
        <v>24</v>
      </c>
    </row>
    <row r="34" spans="1:6" ht="13.5" x14ac:dyDescent="0.25">
      <c r="A34" s="12" t="s">
        <v>65</v>
      </c>
      <c r="B34" s="13">
        <v>25</v>
      </c>
      <c r="C34" s="14">
        <f>B34/$B$32</f>
        <v>0.176056338028169</v>
      </c>
    </row>
    <row r="35" spans="1:6" ht="13.5" x14ac:dyDescent="0.25">
      <c r="A35" s="15" t="s">
        <v>66</v>
      </c>
      <c r="B35" s="16">
        <v>57</v>
      </c>
      <c r="C35" s="17">
        <f>B35/$B$32</f>
        <v>0.40140845070422537</v>
      </c>
    </row>
    <row r="36" spans="1:6" ht="13.5" x14ac:dyDescent="0.25">
      <c r="A36" s="12" t="s">
        <v>67</v>
      </c>
      <c r="B36" s="13">
        <v>48</v>
      </c>
      <c r="C36" s="14">
        <f>B36/$B$32</f>
        <v>0.3380281690140845</v>
      </c>
    </row>
    <row r="37" spans="1:6" ht="13.5" x14ac:dyDescent="0.25">
      <c r="A37" s="15" t="s">
        <v>68</v>
      </c>
      <c r="B37" s="16">
        <v>12</v>
      </c>
      <c r="C37" s="17">
        <f>B37/$B$32</f>
        <v>8.4507042253521125E-2</v>
      </c>
    </row>
    <row r="45" spans="1:6" ht="18" customHeight="1" x14ac:dyDescent="0.2">
      <c r="A45" s="30" t="s">
        <v>69</v>
      </c>
      <c r="B45" s="25"/>
      <c r="C45" s="25"/>
      <c r="D45" s="25"/>
      <c r="E45" s="25"/>
      <c r="F45" s="25"/>
    </row>
    <row r="46" spans="1:6" ht="14" x14ac:dyDescent="0.3">
      <c r="A46" s="1" t="s">
        <v>54</v>
      </c>
      <c r="B46" s="10">
        <v>142</v>
      </c>
    </row>
    <row r="47" spans="1:6" x14ac:dyDescent="0.2">
      <c r="A47" s="11" t="s">
        <v>8</v>
      </c>
      <c r="B47" s="11" t="s">
        <v>55</v>
      </c>
      <c r="C47" s="11" t="s">
        <v>24</v>
      </c>
    </row>
    <row r="48" spans="1:6" ht="13.5" x14ac:dyDescent="0.25">
      <c r="A48" s="12" t="s">
        <v>70</v>
      </c>
      <c r="B48" s="13">
        <v>125</v>
      </c>
      <c r="C48" s="14">
        <f t="shared" ref="C48:C57" si="0">B48/$B$46</f>
        <v>0.88028169014084512</v>
      </c>
    </row>
    <row r="49" spans="1:6" ht="13.5" x14ac:dyDescent="0.25">
      <c r="A49" s="15" t="s">
        <v>71</v>
      </c>
      <c r="B49" s="16">
        <v>83</v>
      </c>
      <c r="C49" s="17">
        <f t="shared" si="0"/>
        <v>0.58450704225352113</v>
      </c>
    </row>
    <row r="50" spans="1:6" ht="13.5" x14ac:dyDescent="0.25">
      <c r="A50" s="12" t="s">
        <v>72</v>
      </c>
      <c r="B50" s="13">
        <v>76</v>
      </c>
      <c r="C50" s="14">
        <f t="shared" si="0"/>
        <v>0.53521126760563376</v>
      </c>
    </row>
    <row r="51" spans="1:6" ht="13.5" x14ac:dyDescent="0.25">
      <c r="A51" s="15" t="s">
        <v>73</v>
      </c>
      <c r="B51" s="16">
        <v>73</v>
      </c>
      <c r="C51" s="17">
        <f t="shared" si="0"/>
        <v>0.5140845070422535</v>
      </c>
    </row>
    <row r="52" spans="1:6" ht="13.5" x14ac:dyDescent="0.25">
      <c r="A52" s="12" t="s">
        <v>74</v>
      </c>
      <c r="B52" s="13">
        <v>70</v>
      </c>
      <c r="C52" s="14">
        <f t="shared" si="0"/>
        <v>0.49295774647887325</v>
      </c>
    </row>
    <row r="53" spans="1:6" ht="13.5" x14ac:dyDescent="0.25">
      <c r="A53" s="15" t="s">
        <v>75</v>
      </c>
      <c r="B53" s="16">
        <v>60</v>
      </c>
      <c r="C53" s="17">
        <f t="shared" si="0"/>
        <v>0.42253521126760563</v>
      </c>
    </row>
    <row r="54" spans="1:6" ht="13.5" x14ac:dyDescent="0.25">
      <c r="A54" s="12" t="s">
        <v>76</v>
      </c>
      <c r="B54" s="13">
        <v>53</v>
      </c>
      <c r="C54" s="14">
        <f t="shared" si="0"/>
        <v>0.37323943661971831</v>
      </c>
    </row>
    <row r="55" spans="1:6" ht="13.5" x14ac:dyDescent="0.25">
      <c r="A55" s="15" t="s">
        <v>77</v>
      </c>
      <c r="B55" s="16">
        <v>45</v>
      </c>
      <c r="C55" s="17">
        <f t="shared" si="0"/>
        <v>0.31690140845070425</v>
      </c>
    </row>
    <row r="56" spans="1:6" ht="13.5" x14ac:dyDescent="0.25">
      <c r="A56" s="12" t="s">
        <v>78</v>
      </c>
      <c r="B56" s="13">
        <v>45</v>
      </c>
      <c r="C56" s="14">
        <f t="shared" si="0"/>
        <v>0.31690140845070425</v>
      </c>
    </row>
    <row r="57" spans="1:6" ht="13.5" x14ac:dyDescent="0.25">
      <c r="A57" s="15" t="s">
        <v>79</v>
      </c>
      <c r="B57" s="16">
        <v>2</v>
      </c>
      <c r="C57" s="17">
        <f t="shared" si="0"/>
        <v>1.4084507042253521E-2</v>
      </c>
    </row>
    <row r="58" spans="1:6" ht="14" x14ac:dyDescent="0.3">
      <c r="A58" s="18" t="s">
        <v>80</v>
      </c>
    </row>
    <row r="63" spans="1:6" ht="18" customHeight="1" x14ac:dyDescent="0.2">
      <c r="A63" s="30" t="s">
        <v>81</v>
      </c>
      <c r="B63" s="25"/>
      <c r="C63" s="25"/>
      <c r="D63" s="25"/>
      <c r="E63" s="25"/>
      <c r="F63" s="25"/>
    </row>
    <row r="64" spans="1:6" ht="14" x14ac:dyDescent="0.3">
      <c r="A64" s="1" t="s">
        <v>54</v>
      </c>
      <c r="B64" s="10">
        <v>142</v>
      </c>
    </row>
    <row r="65" spans="1:6" x14ac:dyDescent="0.2">
      <c r="A65" s="11" t="s">
        <v>8</v>
      </c>
      <c r="B65" s="11" t="s">
        <v>55</v>
      </c>
      <c r="C65" s="11" t="s">
        <v>24</v>
      </c>
    </row>
    <row r="66" spans="1:6" ht="13.5" x14ac:dyDescent="0.25">
      <c r="A66" s="12" t="s">
        <v>82</v>
      </c>
      <c r="B66" s="13">
        <v>114</v>
      </c>
      <c r="C66" s="14">
        <f t="shared" ref="C66:C74" si="1">B66/$B$64</f>
        <v>0.80281690140845074</v>
      </c>
    </row>
    <row r="67" spans="1:6" ht="13.5" x14ac:dyDescent="0.25">
      <c r="A67" s="15" t="s">
        <v>83</v>
      </c>
      <c r="B67" s="16">
        <v>108</v>
      </c>
      <c r="C67" s="17">
        <f t="shared" si="1"/>
        <v>0.76056338028169013</v>
      </c>
    </row>
    <row r="68" spans="1:6" ht="13.5" x14ac:dyDescent="0.25">
      <c r="A68" s="12" t="s">
        <v>84</v>
      </c>
      <c r="B68" s="13">
        <v>87</v>
      </c>
      <c r="C68" s="14">
        <f t="shared" si="1"/>
        <v>0.61267605633802813</v>
      </c>
    </row>
    <row r="69" spans="1:6" ht="13.5" x14ac:dyDescent="0.25">
      <c r="A69" s="15" t="s">
        <v>85</v>
      </c>
      <c r="B69" s="16">
        <v>83</v>
      </c>
      <c r="C69" s="17">
        <f t="shared" si="1"/>
        <v>0.58450704225352113</v>
      </c>
    </row>
    <row r="70" spans="1:6" ht="13.5" x14ac:dyDescent="0.25">
      <c r="A70" s="12" t="s">
        <v>86</v>
      </c>
      <c r="B70" s="13">
        <v>82</v>
      </c>
      <c r="C70" s="14">
        <f t="shared" si="1"/>
        <v>0.57746478873239437</v>
      </c>
    </row>
    <row r="71" spans="1:6" ht="13.5" x14ac:dyDescent="0.25">
      <c r="A71" s="15" t="s">
        <v>87</v>
      </c>
      <c r="B71" s="16">
        <v>61</v>
      </c>
      <c r="C71" s="17">
        <f t="shared" si="1"/>
        <v>0.42957746478873238</v>
      </c>
    </row>
    <row r="72" spans="1:6" ht="13.5" x14ac:dyDescent="0.25">
      <c r="A72" s="12" t="s">
        <v>88</v>
      </c>
      <c r="B72" s="13">
        <v>58</v>
      </c>
      <c r="C72" s="14">
        <f t="shared" si="1"/>
        <v>0.40845070422535212</v>
      </c>
    </row>
    <row r="73" spans="1:6" ht="13.5" x14ac:dyDescent="0.25">
      <c r="A73" s="15" t="s">
        <v>89</v>
      </c>
      <c r="B73" s="16">
        <v>52</v>
      </c>
      <c r="C73" s="17">
        <f t="shared" si="1"/>
        <v>0.36619718309859156</v>
      </c>
    </row>
    <row r="74" spans="1:6" ht="13.5" x14ac:dyDescent="0.25">
      <c r="A74" s="12" t="s">
        <v>90</v>
      </c>
      <c r="B74" s="13">
        <v>51</v>
      </c>
      <c r="C74" s="14">
        <f t="shared" si="1"/>
        <v>0.35915492957746481</v>
      </c>
    </row>
    <row r="75" spans="1:6" ht="14" x14ac:dyDescent="0.3">
      <c r="A75" s="18" t="s">
        <v>80</v>
      </c>
    </row>
    <row r="80" spans="1:6" ht="18" customHeight="1" x14ac:dyDescent="0.2">
      <c r="A80" s="30" t="s">
        <v>91</v>
      </c>
      <c r="B80" s="25"/>
      <c r="C80" s="25"/>
      <c r="D80" s="25"/>
      <c r="E80" s="25"/>
      <c r="F80" s="25"/>
    </row>
    <row r="81" spans="1:3" ht="14" x14ac:dyDescent="0.3">
      <c r="A81" s="1" t="s">
        <v>54</v>
      </c>
      <c r="B81" s="10">
        <v>142</v>
      </c>
    </row>
    <row r="82" spans="1:3" x14ac:dyDescent="0.2">
      <c r="A82" s="11" t="s">
        <v>8</v>
      </c>
      <c r="B82" s="11" t="s">
        <v>55</v>
      </c>
      <c r="C82" s="11" t="s">
        <v>24</v>
      </c>
    </row>
    <row r="83" spans="1:3" ht="13.5" x14ac:dyDescent="0.25">
      <c r="A83" s="12" t="s">
        <v>92</v>
      </c>
      <c r="B83" s="13">
        <v>106</v>
      </c>
      <c r="C83" s="14">
        <f t="shared" ref="C83:C94" si="2">B83/$B$81</f>
        <v>0.74647887323943662</v>
      </c>
    </row>
    <row r="84" spans="1:3" ht="13.5" x14ac:dyDescent="0.25">
      <c r="A84" s="15" t="s">
        <v>93</v>
      </c>
      <c r="B84" s="16">
        <v>77</v>
      </c>
      <c r="C84" s="17">
        <f t="shared" si="2"/>
        <v>0.54225352112676062</v>
      </c>
    </row>
    <row r="85" spans="1:3" ht="13.5" x14ac:dyDescent="0.25">
      <c r="A85" s="12" t="s">
        <v>94</v>
      </c>
      <c r="B85" s="13">
        <v>75</v>
      </c>
      <c r="C85" s="14">
        <f t="shared" si="2"/>
        <v>0.528169014084507</v>
      </c>
    </row>
    <row r="86" spans="1:3" ht="13.5" x14ac:dyDescent="0.25">
      <c r="A86" s="15" t="s">
        <v>95</v>
      </c>
      <c r="B86" s="16">
        <v>63</v>
      </c>
      <c r="C86" s="17">
        <f t="shared" si="2"/>
        <v>0.44366197183098594</v>
      </c>
    </row>
    <row r="87" spans="1:3" ht="13.5" x14ac:dyDescent="0.25">
      <c r="A87" s="12" t="s">
        <v>96</v>
      </c>
      <c r="B87" s="13">
        <v>62</v>
      </c>
      <c r="C87" s="14">
        <f t="shared" si="2"/>
        <v>0.43661971830985913</v>
      </c>
    </row>
    <row r="88" spans="1:3" ht="13.5" x14ac:dyDescent="0.25">
      <c r="A88" s="15" t="s">
        <v>97</v>
      </c>
      <c r="B88" s="16">
        <v>51</v>
      </c>
      <c r="C88" s="17">
        <f t="shared" si="2"/>
        <v>0.35915492957746481</v>
      </c>
    </row>
    <row r="89" spans="1:3" ht="13.5" x14ac:dyDescent="0.25">
      <c r="A89" s="12" t="s">
        <v>98</v>
      </c>
      <c r="B89" s="13">
        <v>46</v>
      </c>
      <c r="C89" s="14">
        <f t="shared" si="2"/>
        <v>0.323943661971831</v>
      </c>
    </row>
    <row r="90" spans="1:3" ht="13.5" x14ac:dyDescent="0.25">
      <c r="A90" s="15" t="s">
        <v>99</v>
      </c>
      <c r="B90" s="16">
        <v>27</v>
      </c>
      <c r="C90" s="17">
        <f t="shared" si="2"/>
        <v>0.19014084507042253</v>
      </c>
    </row>
    <row r="91" spans="1:3" ht="13.5" x14ac:dyDescent="0.25">
      <c r="A91" s="12" t="s">
        <v>100</v>
      </c>
      <c r="B91" s="13">
        <v>24</v>
      </c>
      <c r="C91" s="14">
        <f t="shared" si="2"/>
        <v>0.16901408450704225</v>
      </c>
    </row>
    <row r="92" spans="1:3" ht="13.5" x14ac:dyDescent="0.25">
      <c r="A92" s="15" t="s">
        <v>101</v>
      </c>
      <c r="B92" s="16">
        <v>23</v>
      </c>
      <c r="C92" s="17">
        <f t="shared" si="2"/>
        <v>0.1619718309859155</v>
      </c>
    </row>
    <row r="93" spans="1:3" ht="13.5" x14ac:dyDescent="0.25">
      <c r="A93" s="12" t="s">
        <v>102</v>
      </c>
      <c r="B93" s="13">
        <v>11</v>
      </c>
      <c r="C93" s="14">
        <f t="shared" si="2"/>
        <v>7.746478873239436E-2</v>
      </c>
    </row>
    <row r="94" spans="1:3" ht="13.5" x14ac:dyDescent="0.25">
      <c r="A94" s="15" t="s">
        <v>103</v>
      </c>
      <c r="B94" s="16">
        <v>10</v>
      </c>
      <c r="C94" s="17">
        <f t="shared" si="2"/>
        <v>7.0422535211267609E-2</v>
      </c>
    </row>
    <row r="95" spans="1:3" ht="14" x14ac:dyDescent="0.3">
      <c r="A95" s="18" t="s">
        <v>104</v>
      </c>
    </row>
    <row r="100" spans="1:6" ht="18" customHeight="1" x14ac:dyDescent="0.2">
      <c r="A100" s="30" t="s">
        <v>105</v>
      </c>
      <c r="B100" s="25"/>
      <c r="C100" s="25"/>
      <c r="D100" s="25"/>
      <c r="E100" s="25"/>
      <c r="F100" s="25"/>
    </row>
    <row r="101" spans="1:6" ht="14" x14ac:dyDescent="0.3">
      <c r="A101" s="1" t="s">
        <v>54</v>
      </c>
      <c r="B101" s="10">
        <v>142</v>
      </c>
    </row>
    <row r="102" spans="1:6" x14ac:dyDescent="0.2">
      <c r="A102" s="11" t="s">
        <v>8</v>
      </c>
      <c r="B102" s="11" t="s">
        <v>55</v>
      </c>
      <c r="C102" s="11" t="s">
        <v>24</v>
      </c>
    </row>
    <row r="103" spans="1:6" ht="13.5" x14ac:dyDescent="0.25">
      <c r="A103" s="12" t="s">
        <v>92</v>
      </c>
      <c r="B103" s="13">
        <v>113</v>
      </c>
      <c r="C103" s="14">
        <f t="shared" ref="C103:C112" si="3">B103/$B$101</f>
        <v>0.79577464788732399</v>
      </c>
    </row>
    <row r="104" spans="1:6" ht="13.5" x14ac:dyDescent="0.25">
      <c r="A104" s="15" t="s">
        <v>93</v>
      </c>
      <c r="B104" s="16">
        <v>108</v>
      </c>
      <c r="C104" s="17">
        <f t="shared" si="3"/>
        <v>0.76056338028169013</v>
      </c>
    </row>
    <row r="105" spans="1:6" ht="13.5" x14ac:dyDescent="0.25">
      <c r="A105" s="12" t="s">
        <v>95</v>
      </c>
      <c r="B105" s="13">
        <v>77</v>
      </c>
      <c r="C105" s="14">
        <f t="shared" si="3"/>
        <v>0.54225352112676062</v>
      </c>
    </row>
    <row r="106" spans="1:6" ht="13.5" x14ac:dyDescent="0.25">
      <c r="A106" s="15" t="s">
        <v>106</v>
      </c>
      <c r="B106" s="16">
        <v>75</v>
      </c>
      <c r="C106" s="17">
        <f t="shared" si="3"/>
        <v>0.528169014084507</v>
      </c>
    </row>
    <row r="107" spans="1:6" ht="13.5" x14ac:dyDescent="0.25">
      <c r="A107" s="12" t="s">
        <v>107</v>
      </c>
      <c r="B107" s="13">
        <v>50</v>
      </c>
      <c r="C107" s="14">
        <f t="shared" si="3"/>
        <v>0.352112676056338</v>
      </c>
    </row>
    <row r="108" spans="1:6" ht="13.5" x14ac:dyDescent="0.25">
      <c r="A108" s="15" t="s">
        <v>108</v>
      </c>
      <c r="B108" s="16">
        <v>45</v>
      </c>
      <c r="C108" s="17">
        <f t="shared" si="3"/>
        <v>0.31690140845070425</v>
      </c>
    </row>
    <row r="109" spans="1:6" ht="13.5" x14ac:dyDescent="0.25">
      <c r="A109" s="12" t="s">
        <v>109</v>
      </c>
      <c r="B109" s="13">
        <v>43</v>
      </c>
      <c r="C109" s="14">
        <f t="shared" si="3"/>
        <v>0.30281690140845069</v>
      </c>
    </row>
    <row r="110" spans="1:6" ht="13.5" x14ac:dyDescent="0.25">
      <c r="A110" s="15" t="s">
        <v>110</v>
      </c>
      <c r="B110" s="16">
        <v>32</v>
      </c>
      <c r="C110" s="17">
        <f t="shared" si="3"/>
        <v>0.22535211267605634</v>
      </c>
    </row>
    <row r="111" spans="1:6" ht="13.5" x14ac:dyDescent="0.25">
      <c r="A111" s="12" t="s">
        <v>111</v>
      </c>
      <c r="B111" s="13">
        <v>27</v>
      </c>
      <c r="C111" s="14">
        <f t="shared" si="3"/>
        <v>0.19014084507042253</v>
      </c>
    </row>
    <row r="112" spans="1:6" ht="13.5" x14ac:dyDescent="0.25">
      <c r="A112" s="15" t="s">
        <v>112</v>
      </c>
      <c r="B112" s="16">
        <v>25</v>
      </c>
      <c r="C112" s="17">
        <f t="shared" si="3"/>
        <v>0.176056338028169</v>
      </c>
    </row>
    <row r="113" spans="1:6" ht="14" x14ac:dyDescent="0.3">
      <c r="A113" s="18" t="s">
        <v>80</v>
      </c>
    </row>
    <row r="118" spans="1:6" ht="18" customHeight="1" x14ac:dyDescent="0.2">
      <c r="A118" s="30" t="s">
        <v>113</v>
      </c>
      <c r="B118" s="25"/>
      <c r="C118" s="25"/>
      <c r="D118" s="25"/>
      <c r="E118" s="25"/>
      <c r="F118" s="25"/>
    </row>
    <row r="119" spans="1:6" ht="14" x14ac:dyDescent="0.3">
      <c r="A119" s="1" t="s">
        <v>54</v>
      </c>
      <c r="B119" s="10">
        <v>142</v>
      </c>
    </row>
    <row r="120" spans="1:6" x14ac:dyDescent="0.2">
      <c r="A120" s="11" t="s">
        <v>8</v>
      </c>
      <c r="B120" s="11" t="s">
        <v>55</v>
      </c>
      <c r="C120" s="11" t="s">
        <v>24</v>
      </c>
    </row>
    <row r="121" spans="1:6" ht="13.5" x14ac:dyDescent="0.25">
      <c r="A121" s="12" t="s">
        <v>114</v>
      </c>
      <c r="B121" s="13">
        <v>106</v>
      </c>
      <c r="C121" s="14">
        <f t="shared" ref="C121:C129" si="4">B121/$B$119</f>
        <v>0.74647887323943662</v>
      </c>
    </row>
    <row r="122" spans="1:6" ht="13.5" x14ac:dyDescent="0.25">
      <c r="A122" s="15" t="s">
        <v>115</v>
      </c>
      <c r="B122" s="16">
        <v>79</v>
      </c>
      <c r="C122" s="17">
        <f t="shared" si="4"/>
        <v>0.55633802816901412</v>
      </c>
    </row>
    <row r="123" spans="1:6" ht="13.5" x14ac:dyDescent="0.25">
      <c r="A123" s="12" t="s">
        <v>116</v>
      </c>
      <c r="B123" s="13">
        <v>77</v>
      </c>
      <c r="C123" s="14">
        <f t="shared" si="4"/>
        <v>0.54225352112676062</v>
      </c>
    </row>
    <row r="124" spans="1:6" ht="13.5" x14ac:dyDescent="0.25">
      <c r="A124" s="15" t="s">
        <v>117</v>
      </c>
      <c r="B124" s="16">
        <v>76</v>
      </c>
      <c r="C124" s="17">
        <f t="shared" si="4"/>
        <v>0.53521126760563376</v>
      </c>
    </row>
    <row r="125" spans="1:6" ht="13.5" x14ac:dyDescent="0.25">
      <c r="A125" s="12" t="s">
        <v>84</v>
      </c>
      <c r="B125" s="13">
        <v>74</v>
      </c>
      <c r="C125" s="14">
        <f t="shared" si="4"/>
        <v>0.52112676056338025</v>
      </c>
    </row>
    <row r="126" spans="1:6" ht="13.5" x14ac:dyDescent="0.25">
      <c r="A126" s="15" t="s">
        <v>118</v>
      </c>
      <c r="B126" s="16">
        <v>68</v>
      </c>
      <c r="C126" s="17">
        <f t="shared" si="4"/>
        <v>0.47887323943661969</v>
      </c>
    </row>
    <row r="127" spans="1:6" ht="13.5" x14ac:dyDescent="0.25">
      <c r="A127" s="12" t="s">
        <v>90</v>
      </c>
      <c r="B127" s="13">
        <v>53</v>
      </c>
      <c r="C127" s="14">
        <f t="shared" si="4"/>
        <v>0.37323943661971831</v>
      </c>
    </row>
    <row r="128" spans="1:6" ht="13.5" x14ac:dyDescent="0.25">
      <c r="A128" s="15" t="s">
        <v>119</v>
      </c>
      <c r="B128" s="16">
        <v>29</v>
      </c>
      <c r="C128" s="17">
        <f t="shared" si="4"/>
        <v>0.20422535211267606</v>
      </c>
    </row>
    <row r="129" spans="1:3" ht="13.5" x14ac:dyDescent="0.25">
      <c r="A129" s="12" t="s">
        <v>120</v>
      </c>
      <c r="B129" s="13">
        <v>27</v>
      </c>
      <c r="C129" s="14">
        <f t="shared" si="4"/>
        <v>0.19014084507042253</v>
      </c>
    </row>
    <row r="130" spans="1:3" ht="14" x14ac:dyDescent="0.3">
      <c r="A130" s="18" t="s">
        <v>80</v>
      </c>
    </row>
  </sheetData>
  <mergeCells count="9">
    <mergeCell ref="A63:F63"/>
    <mergeCell ref="A45:F45"/>
    <mergeCell ref="A1:L1"/>
    <mergeCell ref="A80:F80"/>
    <mergeCell ref="A118:F118"/>
    <mergeCell ref="A31:F31"/>
    <mergeCell ref="A17:F17"/>
    <mergeCell ref="A100:F100"/>
    <mergeCell ref="A3:F3"/>
  </mergeCells>
  <phoneticPr fontId="1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"/>
  <sheetViews>
    <sheetView showGridLines="0" workbookViewId="0">
      <pane ySplit="2" topLeftCell="A3" activePane="bottomLeft" state="frozen"/>
      <selection pane="bottomLeft" sqref="A1:L1"/>
    </sheetView>
  </sheetViews>
  <sheetFormatPr defaultRowHeight="13" x14ac:dyDescent="0.2"/>
  <cols>
    <col min="1" max="1" width="40" customWidth="1"/>
    <col min="2" max="3" width="10" customWidth="1"/>
    <col min="4" max="4" width="3" customWidth="1"/>
    <col min="5" max="14" width="14" customWidth="1"/>
  </cols>
  <sheetData>
    <row r="1" spans="1:12" ht="26" customHeight="1" x14ac:dyDescent="0.2">
      <c r="A1" s="26" t="s">
        <v>121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 customHeight="1" x14ac:dyDescent="0.2">
      <c r="A3" s="30" t="s">
        <v>122</v>
      </c>
      <c r="B3" s="25"/>
      <c r="C3" s="25"/>
      <c r="D3" s="25"/>
      <c r="E3" s="25"/>
      <c r="F3" s="25"/>
    </row>
    <row r="4" spans="1:12" ht="14" x14ac:dyDescent="0.3">
      <c r="A4" s="1" t="s">
        <v>54</v>
      </c>
      <c r="B4" s="10">
        <v>6</v>
      </c>
    </row>
    <row r="5" spans="1:12" x14ac:dyDescent="0.2">
      <c r="A5" s="11" t="s">
        <v>8</v>
      </c>
      <c r="B5" s="11" t="s">
        <v>55</v>
      </c>
      <c r="C5" s="11" t="s">
        <v>24</v>
      </c>
    </row>
    <row r="6" spans="1:12" ht="13.5" x14ac:dyDescent="0.25">
      <c r="A6" s="12" t="s">
        <v>123</v>
      </c>
      <c r="B6" s="13">
        <v>6</v>
      </c>
      <c r="C6" s="14">
        <f>B6/$B$4</f>
        <v>1</v>
      </c>
    </row>
    <row r="17" spans="1:6" ht="18" customHeight="1" x14ac:dyDescent="0.2">
      <c r="A17" s="30" t="s">
        <v>124</v>
      </c>
      <c r="B17" s="25"/>
      <c r="C17" s="25"/>
      <c r="D17" s="25"/>
      <c r="E17" s="25"/>
      <c r="F17" s="25"/>
    </row>
    <row r="18" spans="1:6" ht="14" x14ac:dyDescent="0.3">
      <c r="A18" s="1" t="s">
        <v>54</v>
      </c>
      <c r="B18" s="10">
        <v>6</v>
      </c>
    </row>
    <row r="19" spans="1:6" x14ac:dyDescent="0.2">
      <c r="A19" s="11" t="s">
        <v>8</v>
      </c>
      <c r="B19" s="11" t="s">
        <v>55</v>
      </c>
      <c r="C19" s="11" t="s">
        <v>24</v>
      </c>
    </row>
    <row r="20" spans="1:6" ht="13.5" x14ac:dyDescent="0.25">
      <c r="A20" s="12" t="s">
        <v>125</v>
      </c>
      <c r="B20" s="13">
        <v>3</v>
      </c>
      <c r="C20" s="14">
        <f>B20/$B$18</f>
        <v>0.5</v>
      </c>
    </row>
    <row r="21" spans="1:6" ht="13.5" x14ac:dyDescent="0.25">
      <c r="A21" s="15" t="s">
        <v>126</v>
      </c>
      <c r="B21" s="16">
        <v>1</v>
      </c>
      <c r="C21" s="17">
        <f>B21/$B$18</f>
        <v>0.16666666666666666</v>
      </c>
    </row>
    <row r="22" spans="1:6" ht="13.5" x14ac:dyDescent="0.25">
      <c r="A22" s="12" t="s">
        <v>127</v>
      </c>
      <c r="B22" s="13">
        <v>1</v>
      </c>
      <c r="C22" s="14">
        <f>B22/$B$18</f>
        <v>0.16666666666666666</v>
      </c>
    </row>
    <row r="23" spans="1:6" ht="13.5" x14ac:dyDescent="0.25">
      <c r="A23" s="15" t="s">
        <v>128</v>
      </c>
      <c r="B23" s="16">
        <v>1</v>
      </c>
      <c r="C23" s="17">
        <f>B23/$B$18</f>
        <v>0.16666666666666666</v>
      </c>
    </row>
    <row r="31" spans="1:6" ht="18" customHeight="1" x14ac:dyDescent="0.2">
      <c r="A31" s="30" t="s">
        <v>129</v>
      </c>
      <c r="B31" s="25"/>
      <c r="C31" s="25"/>
      <c r="D31" s="25"/>
      <c r="E31" s="25"/>
      <c r="F31" s="25"/>
    </row>
    <row r="32" spans="1:6" ht="14" x14ac:dyDescent="0.3">
      <c r="A32" s="1" t="s">
        <v>54</v>
      </c>
      <c r="B32" s="10">
        <v>6</v>
      </c>
    </row>
    <row r="33" spans="1:6" x14ac:dyDescent="0.2">
      <c r="A33" s="11" t="s">
        <v>8</v>
      </c>
      <c r="B33" s="11" t="s">
        <v>55</v>
      </c>
      <c r="C33" s="11" t="s">
        <v>24</v>
      </c>
    </row>
    <row r="34" spans="1:6" ht="13.5" x14ac:dyDescent="0.25">
      <c r="A34" s="12" t="s">
        <v>130</v>
      </c>
      <c r="B34" s="13">
        <v>5</v>
      </c>
      <c r="C34" s="14">
        <f>B34/$B$32</f>
        <v>0.83333333333333337</v>
      </c>
    </row>
    <row r="35" spans="1:6" ht="13.5" x14ac:dyDescent="0.25">
      <c r="A35" s="15" t="s">
        <v>131</v>
      </c>
      <c r="B35" s="16">
        <v>1</v>
      </c>
      <c r="C35" s="17">
        <f>B35/$B$32</f>
        <v>0.16666666666666666</v>
      </c>
    </row>
    <row r="45" spans="1:6" ht="18" customHeight="1" x14ac:dyDescent="0.2">
      <c r="A45" s="30" t="s">
        <v>132</v>
      </c>
      <c r="B45" s="25"/>
      <c r="C45" s="25"/>
      <c r="D45" s="25"/>
      <c r="E45" s="25"/>
      <c r="F45" s="25"/>
    </row>
    <row r="46" spans="1:6" ht="14" x14ac:dyDescent="0.3">
      <c r="A46" s="1" t="s">
        <v>54</v>
      </c>
      <c r="B46" s="10">
        <v>6</v>
      </c>
    </row>
    <row r="47" spans="1:6" x14ac:dyDescent="0.2">
      <c r="A47" s="11" t="s">
        <v>8</v>
      </c>
      <c r="B47" s="11" t="s">
        <v>55</v>
      </c>
      <c r="C47" s="11" t="s">
        <v>24</v>
      </c>
    </row>
    <row r="48" spans="1:6" ht="13.5" x14ac:dyDescent="0.25">
      <c r="A48" s="12" t="s">
        <v>133</v>
      </c>
      <c r="B48" s="13">
        <v>3</v>
      </c>
      <c r="C48" s="14">
        <f t="shared" ref="C48:C56" si="0">B48/$B$46</f>
        <v>0.5</v>
      </c>
    </row>
    <row r="49" spans="1:6" ht="13.5" x14ac:dyDescent="0.25">
      <c r="A49" s="15" t="s">
        <v>134</v>
      </c>
      <c r="B49" s="16">
        <v>3</v>
      </c>
      <c r="C49" s="17">
        <f t="shared" si="0"/>
        <v>0.5</v>
      </c>
    </row>
    <row r="50" spans="1:6" ht="13.5" x14ac:dyDescent="0.25">
      <c r="A50" s="12" t="s">
        <v>135</v>
      </c>
      <c r="B50" s="13">
        <v>2</v>
      </c>
      <c r="C50" s="14">
        <f t="shared" si="0"/>
        <v>0.33333333333333331</v>
      </c>
    </row>
    <row r="51" spans="1:6" ht="13.5" x14ac:dyDescent="0.25">
      <c r="A51" s="15" t="s">
        <v>136</v>
      </c>
      <c r="B51" s="16">
        <v>1</v>
      </c>
      <c r="C51" s="17">
        <f t="shared" si="0"/>
        <v>0.16666666666666666</v>
      </c>
    </row>
    <row r="52" spans="1:6" ht="13.5" x14ac:dyDescent="0.25">
      <c r="A52" s="12" t="s">
        <v>137</v>
      </c>
      <c r="B52" s="13">
        <v>1</v>
      </c>
      <c r="C52" s="14">
        <f t="shared" si="0"/>
        <v>0.16666666666666666</v>
      </c>
    </row>
    <row r="53" spans="1:6" ht="13.5" x14ac:dyDescent="0.25">
      <c r="A53" s="15" t="s">
        <v>138</v>
      </c>
      <c r="B53" s="16">
        <v>1</v>
      </c>
      <c r="C53" s="17">
        <f t="shared" si="0"/>
        <v>0.16666666666666666</v>
      </c>
    </row>
    <row r="54" spans="1:6" ht="13.5" x14ac:dyDescent="0.25">
      <c r="A54" s="12" t="s">
        <v>139</v>
      </c>
      <c r="B54" s="13">
        <v>1</v>
      </c>
      <c r="C54" s="14">
        <f t="shared" si="0"/>
        <v>0.16666666666666666</v>
      </c>
    </row>
    <row r="55" spans="1:6" ht="13.5" x14ac:dyDescent="0.25">
      <c r="A55" s="15" t="s">
        <v>140</v>
      </c>
      <c r="B55" s="16">
        <v>0</v>
      </c>
      <c r="C55" s="17">
        <f t="shared" si="0"/>
        <v>0</v>
      </c>
    </row>
    <row r="56" spans="1:6" ht="13.5" x14ac:dyDescent="0.25">
      <c r="A56" s="12" t="s">
        <v>141</v>
      </c>
      <c r="B56" s="13">
        <v>0</v>
      </c>
      <c r="C56" s="14">
        <f t="shared" si="0"/>
        <v>0</v>
      </c>
    </row>
    <row r="57" spans="1:6" ht="14" x14ac:dyDescent="0.3">
      <c r="A57" s="18" t="s">
        <v>142</v>
      </c>
    </row>
    <row r="62" spans="1:6" ht="18" customHeight="1" x14ac:dyDescent="0.2">
      <c r="A62" s="30" t="s">
        <v>143</v>
      </c>
      <c r="B62" s="25"/>
      <c r="C62" s="25"/>
      <c r="D62" s="25"/>
      <c r="E62" s="25"/>
      <c r="F62" s="25"/>
    </row>
    <row r="63" spans="1:6" ht="14" x14ac:dyDescent="0.3">
      <c r="A63" s="1" t="s">
        <v>54</v>
      </c>
      <c r="B63" s="10">
        <v>6</v>
      </c>
    </row>
    <row r="64" spans="1:6" x14ac:dyDescent="0.2">
      <c r="A64" s="11" t="s">
        <v>8</v>
      </c>
      <c r="B64" s="11" t="s">
        <v>55</v>
      </c>
      <c r="C64" s="11" t="s">
        <v>24</v>
      </c>
    </row>
    <row r="65" spans="1:6" ht="13.5" x14ac:dyDescent="0.25">
      <c r="A65" s="12" t="s">
        <v>144</v>
      </c>
      <c r="B65" s="13">
        <v>4</v>
      </c>
      <c r="C65" s="14">
        <f>B65/$B$63</f>
        <v>0.66666666666666663</v>
      </c>
    </row>
    <row r="66" spans="1:6" ht="13.5" x14ac:dyDescent="0.25">
      <c r="A66" s="15" t="s">
        <v>145</v>
      </c>
      <c r="B66" s="16">
        <v>1</v>
      </c>
      <c r="C66" s="17">
        <f>B66/$B$63</f>
        <v>0.16666666666666666</v>
      </c>
    </row>
    <row r="67" spans="1:6" ht="13.5" x14ac:dyDescent="0.25">
      <c r="A67" s="12" t="s">
        <v>146</v>
      </c>
      <c r="B67" s="13">
        <v>1</v>
      </c>
      <c r="C67" s="14">
        <f>B67/$B$63</f>
        <v>0.16666666666666666</v>
      </c>
    </row>
    <row r="76" spans="1:6" ht="18" customHeight="1" x14ac:dyDescent="0.2">
      <c r="A76" s="30" t="s">
        <v>147</v>
      </c>
      <c r="B76" s="25"/>
      <c r="C76" s="25"/>
      <c r="D76" s="25"/>
      <c r="E76" s="25"/>
      <c r="F76" s="25"/>
    </row>
    <row r="77" spans="1:6" ht="14" x14ac:dyDescent="0.3">
      <c r="A77" s="1" t="s">
        <v>54</v>
      </c>
      <c r="B77" s="10">
        <v>6</v>
      </c>
    </row>
    <row r="78" spans="1:6" x14ac:dyDescent="0.2">
      <c r="A78" s="11" t="s">
        <v>8</v>
      </c>
      <c r="B78" s="11" t="s">
        <v>55</v>
      </c>
      <c r="C78" s="11" t="s">
        <v>24</v>
      </c>
    </row>
    <row r="79" spans="1:6" ht="13.5" x14ac:dyDescent="0.25">
      <c r="A79" s="12" t="s">
        <v>148</v>
      </c>
      <c r="B79" s="13">
        <v>4</v>
      </c>
      <c r="C79" s="14">
        <f t="shared" ref="C79:C87" si="1">B79/$B$77</f>
        <v>0.66666666666666663</v>
      </c>
    </row>
    <row r="80" spans="1:6" ht="13.5" x14ac:dyDescent="0.25">
      <c r="A80" s="15" t="s">
        <v>149</v>
      </c>
      <c r="B80" s="16">
        <v>4</v>
      </c>
      <c r="C80" s="17">
        <f t="shared" si="1"/>
        <v>0.66666666666666663</v>
      </c>
    </row>
    <row r="81" spans="1:6" ht="13.5" x14ac:dyDescent="0.25">
      <c r="A81" s="12" t="s">
        <v>71</v>
      </c>
      <c r="B81" s="13">
        <v>3</v>
      </c>
      <c r="C81" s="14">
        <f t="shared" si="1"/>
        <v>0.5</v>
      </c>
    </row>
    <row r="82" spans="1:6" ht="13.5" x14ac:dyDescent="0.25">
      <c r="A82" s="15" t="s">
        <v>76</v>
      </c>
      <c r="B82" s="16">
        <v>3</v>
      </c>
      <c r="C82" s="17">
        <f t="shared" si="1"/>
        <v>0.5</v>
      </c>
    </row>
    <row r="83" spans="1:6" ht="13.5" x14ac:dyDescent="0.25">
      <c r="A83" s="12" t="s">
        <v>90</v>
      </c>
      <c r="B83" s="13">
        <v>2</v>
      </c>
      <c r="C83" s="14">
        <f t="shared" si="1"/>
        <v>0.33333333333333331</v>
      </c>
    </row>
    <row r="84" spans="1:6" ht="13.5" x14ac:dyDescent="0.25">
      <c r="A84" s="15" t="s">
        <v>150</v>
      </c>
      <c r="B84" s="16">
        <v>2</v>
      </c>
      <c r="C84" s="17">
        <f t="shared" si="1"/>
        <v>0.33333333333333331</v>
      </c>
    </row>
    <row r="85" spans="1:6" ht="13.5" x14ac:dyDescent="0.25">
      <c r="A85" s="12" t="s">
        <v>78</v>
      </c>
      <c r="B85" s="13">
        <v>1</v>
      </c>
      <c r="C85" s="14">
        <f t="shared" si="1"/>
        <v>0.16666666666666666</v>
      </c>
    </row>
    <row r="86" spans="1:6" ht="13.5" x14ac:dyDescent="0.25">
      <c r="A86" s="15" t="s">
        <v>151</v>
      </c>
      <c r="B86" s="16">
        <v>1</v>
      </c>
      <c r="C86" s="17">
        <f t="shared" si="1"/>
        <v>0.16666666666666666</v>
      </c>
    </row>
    <row r="87" spans="1:6" ht="13.5" x14ac:dyDescent="0.25">
      <c r="A87" s="12" t="s">
        <v>152</v>
      </c>
      <c r="B87" s="13">
        <v>0</v>
      </c>
      <c r="C87" s="14">
        <f t="shared" si="1"/>
        <v>0</v>
      </c>
    </row>
    <row r="88" spans="1:6" ht="14" x14ac:dyDescent="0.3">
      <c r="A88" s="18" t="s">
        <v>142</v>
      </c>
    </row>
    <row r="93" spans="1:6" ht="18" customHeight="1" x14ac:dyDescent="0.2">
      <c r="A93" s="30" t="s">
        <v>153</v>
      </c>
      <c r="B93" s="25"/>
      <c r="C93" s="25"/>
      <c r="D93" s="25"/>
      <c r="E93" s="25"/>
      <c r="F93" s="25"/>
    </row>
    <row r="94" spans="1:6" ht="14" x14ac:dyDescent="0.3">
      <c r="A94" s="1" t="s">
        <v>54</v>
      </c>
      <c r="B94" s="10">
        <v>6</v>
      </c>
    </row>
    <row r="95" spans="1:6" x14ac:dyDescent="0.2">
      <c r="A95" s="11" t="s">
        <v>8</v>
      </c>
      <c r="B95" s="11" t="s">
        <v>55</v>
      </c>
      <c r="C95" s="11" t="s">
        <v>24</v>
      </c>
    </row>
    <row r="96" spans="1:6" ht="13.5" x14ac:dyDescent="0.25">
      <c r="A96" s="12" t="s">
        <v>154</v>
      </c>
      <c r="B96" s="13">
        <v>2</v>
      </c>
      <c r="C96" s="14">
        <f t="shared" ref="C96:C104" si="2">B96/$B$94</f>
        <v>0.33333333333333331</v>
      </c>
    </row>
    <row r="97" spans="1:6" ht="13.5" x14ac:dyDescent="0.25">
      <c r="A97" s="15" t="s">
        <v>155</v>
      </c>
      <c r="B97" s="16">
        <v>2</v>
      </c>
      <c r="C97" s="17">
        <f t="shared" si="2"/>
        <v>0.33333333333333331</v>
      </c>
    </row>
    <row r="98" spans="1:6" ht="13.5" x14ac:dyDescent="0.25">
      <c r="A98" s="12" t="s">
        <v>156</v>
      </c>
      <c r="B98" s="13">
        <v>2</v>
      </c>
      <c r="C98" s="14">
        <f t="shared" si="2"/>
        <v>0.33333333333333331</v>
      </c>
    </row>
    <row r="99" spans="1:6" ht="13.5" x14ac:dyDescent="0.25">
      <c r="A99" s="15" t="s">
        <v>157</v>
      </c>
      <c r="B99" s="16">
        <v>1</v>
      </c>
      <c r="C99" s="17">
        <f t="shared" si="2"/>
        <v>0.16666666666666666</v>
      </c>
    </row>
    <row r="100" spans="1:6" ht="13.5" x14ac:dyDescent="0.25">
      <c r="A100" s="12" t="s">
        <v>158</v>
      </c>
      <c r="B100" s="13">
        <v>1</v>
      </c>
      <c r="C100" s="14">
        <f t="shared" si="2"/>
        <v>0.16666666666666666</v>
      </c>
    </row>
    <row r="101" spans="1:6" ht="13.5" x14ac:dyDescent="0.25">
      <c r="A101" s="15" t="s">
        <v>159</v>
      </c>
      <c r="B101" s="16">
        <v>1</v>
      </c>
      <c r="C101" s="17">
        <f t="shared" si="2"/>
        <v>0.16666666666666666</v>
      </c>
    </row>
    <row r="102" spans="1:6" ht="13.5" x14ac:dyDescent="0.25">
      <c r="A102" s="12" t="s">
        <v>150</v>
      </c>
      <c r="B102" s="13">
        <v>1</v>
      </c>
      <c r="C102" s="14">
        <f t="shared" si="2"/>
        <v>0.16666666666666666</v>
      </c>
    </row>
    <row r="103" spans="1:6" ht="13.5" x14ac:dyDescent="0.25">
      <c r="A103" s="15" t="s">
        <v>160</v>
      </c>
      <c r="B103" s="16">
        <v>0</v>
      </c>
      <c r="C103" s="17">
        <f t="shared" si="2"/>
        <v>0</v>
      </c>
    </row>
    <row r="104" spans="1:6" ht="13.5" x14ac:dyDescent="0.25">
      <c r="A104" s="12" t="s">
        <v>161</v>
      </c>
      <c r="B104" s="13">
        <v>0</v>
      </c>
      <c r="C104" s="14">
        <f t="shared" si="2"/>
        <v>0</v>
      </c>
    </row>
    <row r="105" spans="1:6" ht="14" x14ac:dyDescent="0.3">
      <c r="A105" s="18" t="s">
        <v>142</v>
      </c>
    </row>
    <row r="110" spans="1:6" ht="18" customHeight="1" x14ac:dyDescent="0.2">
      <c r="A110" s="30" t="s">
        <v>162</v>
      </c>
      <c r="B110" s="25"/>
      <c r="C110" s="25"/>
      <c r="D110" s="25"/>
      <c r="E110" s="25"/>
      <c r="F110" s="25"/>
    </row>
    <row r="111" spans="1:6" ht="14" x14ac:dyDescent="0.3">
      <c r="A111" s="1" t="s">
        <v>54</v>
      </c>
      <c r="B111" s="10">
        <v>6</v>
      </c>
    </row>
    <row r="112" spans="1:6" x14ac:dyDescent="0.2">
      <c r="A112" s="11" t="s">
        <v>8</v>
      </c>
      <c r="B112" s="11" t="s">
        <v>55</v>
      </c>
      <c r="C112" s="11" t="s">
        <v>24</v>
      </c>
    </row>
    <row r="113" spans="1:3" ht="13.5" x14ac:dyDescent="0.25">
      <c r="A113" s="12" t="s">
        <v>163</v>
      </c>
      <c r="B113" s="13">
        <v>6</v>
      </c>
      <c r="C113" s="14">
        <f t="shared" ref="C113:C121" si="3">B113/$B$111</f>
        <v>1</v>
      </c>
    </row>
    <row r="114" spans="1:3" ht="13.5" x14ac:dyDescent="0.25">
      <c r="A114" s="15" t="s">
        <v>164</v>
      </c>
      <c r="B114" s="16">
        <v>6</v>
      </c>
      <c r="C114" s="17">
        <f t="shared" si="3"/>
        <v>1</v>
      </c>
    </row>
    <row r="115" spans="1:3" ht="13.5" x14ac:dyDescent="0.25">
      <c r="A115" s="12" t="s">
        <v>165</v>
      </c>
      <c r="B115" s="13">
        <v>5</v>
      </c>
      <c r="C115" s="14">
        <f t="shared" si="3"/>
        <v>0.83333333333333337</v>
      </c>
    </row>
    <row r="116" spans="1:3" ht="13.5" x14ac:dyDescent="0.25">
      <c r="A116" s="15" t="s">
        <v>166</v>
      </c>
      <c r="B116" s="16">
        <v>5</v>
      </c>
      <c r="C116" s="17">
        <f t="shared" si="3"/>
        <v>0.83333333333333337</v>
      </c>
    </row>
    <row r="117" spans="1:3" ht="13.5" x14ac:dyDescent="0.25">
      <c r="A117" s="12" t="s">
        <v>167</v>
      </c>
      <c r="B117" s="13">
        <v>3</v>
      </c>
      <c r="C117" s="14">
        <f t="shared" si="3"/>
        <v>0.5</v>
      </c>
    </row>
    <row r="118" spans="1:3" ht="13.5" x14ac:dyDescent="0.25">
      <c r="A118" s="15" t="s">
        <v>168</v>
      </c>
      <c r="B118" s="16">
        <v>3</v>
      </c>
      <c r="C118" s="17">
        <f t="shared" si="3"/>
        <v>0.5</v>
      </c>
    </row>
    <row r="119" spans="1:3" ht="13.5" x14ac:dyDescent="0.25">
      <c r="A119" s="12" t="s">
        <v>169</v>
      </c>
      <c r="B119" s="13">
        <v>3</v>
      </c>
      <c r="C119" s="14">
        <f t="shared" si="3"/>
        <v>0.5</v>
      </c>
    </row>
    <row r="120" spans="1:3" ht="13.5" x14ac:dyDescent="0.25">
      <c r="A120" s="15" t="s">
        <v>170</v>
      </c>
      <c r="B120" s="16">
        <v>3</v>
      </c>
      <c r="C120" s="17">
        <f t="shared" si="3"/>
        <v>0.5</v>
      </c>
    </row>
    <row r="121" spans="1:3" ht="13.5" x14ac:dyDescent="0.25">
      <c r="A121" s="12" t="s">
        <v>171</v>
      </c>
      <c r="B121" s="13">
        <v>3</v>
      </c>
      <c r="C121" s="14">
        <f t="shared" si="3"/>
        <v>0.5</v>
      </c>
    </row>
    <row r="122" spans="1:3" ht="14" x14ac:dyDescent="0.3">
      <c r="A122" s="18" t="s">
        <v>142</v>
      </c>
    </row>
  </sheetData>
  <mergeCells count="9">
    <mergeCell ref="A76:F76"/>
    <mergeCell ref="A93:F93"/>
    <mergeCell ref="A45:F45"/>
    <mergeCell ref="A1:L1"/>
    <mergeCell ref="A110:F110"/>
    <mergeCell ref="A31:F31"/>
    <mergeCell ref="A17:F17"/>
    <mergeCell ref="A62:F62"/>
    <mergeCell ref="A3:F3"/>
  </mergeCells>
  <phoneticPr fontId="1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>
      <selection sqref="A1:E1"/>
    </sheetView>
  </sheetViews>
  <sheetFormatPr defaultRowHeight="13" x14ac:dyDescent="0.2"/>
  <cols>
    <col min="1" max="1" width="34" customWidth="1"/>
    <col min="2" max="4" width="14" customWidth="1"/>
    <col min="5" max="5" width="34" customWidth="1"/>
  </cols>
  <sheetData>
    <row r="1" spans="1:5" ht="28" customHeight="1" x14ac:dyDescent="0.2">
      <c r="A1" s="26" t="s">
        <v>172</v>
      </c>
      <c r="B1" s="25"/>
      <c r="C1" s="25"/>
      <c r="D1" s="25"/>
      <c r="E1" s="25"/>
    </row>
    <row r="2" spans="1:5" ht="14" x14ac:dyDescent="0.3">
      <c r="A2" s="18" t="s">
        <v>173</v>
      </c>
    </row>
    <row r="3" spans="1:5" ht="18" customHeight="1" x14ac:dyDescent="0.2">
      <c r="A3" s="28" t="s">
        <v>174</v>
      </c>
      <c r="B3" s="25"/>
      <c r="C3" s="25"/>
      <c r="D3" s="25"/>
      <c r="E3" s="25"/>
    </row>
    <row r="4" spans="1:5" ht="26" x14ac:dyDescent="0.2">
      <c r="A4" s="4" t="s">
        <v>175</v>
      </c>
      <c r="B4" s="4" t="s">
        <v>176</v>
      </c>
      <c r="C4" s="4" t="s">
        <v>177</v>
      </c>
      <c r="D4" s="4" t="s">
        <v>178</v>
      </c>
    </row>
    <row r="5" spans="1:5" ht="30" customHeight="1" x14ac:dyDescent="0.3">
      <c r="A5" s="19" t="s">
        <v>179</v>
      </c>
      <c r="B5" s="20">
        <f>就活前_集計!$C$34+就活前_集計!$C$35</f>
        <v>0.57746478873239437</v>
      </c>
      <c r="C5" s="20">
        <f>就活経験者_集計!$C$35</f>
        <v>0.16666666666666666</v>
      </c>
      <c r="D5" s="19" t="s">
        <v>180</v>
      </c>
    </row>
    <row r="7" spans="1:5" ht="30" customHeight="1" x14ac:dyDescent="0.3">
      <c r="A7" s="19" t="s">
        <v>181</v>
      </c>
      <c r="B7" s="20">
        <f>就活前_集計!$C$83</f>
        <v>0.74647887323943662</v>
      </c>
      <c r="C7" s="20">
        <f>就活経験者_集計!$C$48</f>
        <v>0.5</v>
      </c>
      <c r="D7" s="19" t="s">
        <v>182</v>
      </c>
    </row>
    <row r="9" spans="1:5" ht="30" customHeight="1" x14ac:dyDescent="0.3">
      <c r="A9" s="19" t="s">
        <v>183</v>
      </c>
      <c r="B9" s="20">
        <f>就活前_集計!$C$48</f>
        <v>0.88028169014084512</v>
      </c>
      <c r="C9" s="20">
        <f>就活経験者_集計!$C$80</f>
        <v>0.66666666666666663</v>
      </c>
      <c r="D9" s="19" t="s">
        <v>184</v>
      </c>
    </row>
    <row r="12" spans="1:5" ht="18" customHeight="1" x14ac:dyDescent="0.2">
      <c r="A12" s="28" t="s">
        <v>185</v>
      </c>
      <c r="B12" s="25"/>
      <c r="C12" s="25"/>
      <c r="D12" s="25"/>
      <c r="E12" s="25"/>
    </row>
    <row r="13" spans="1:5" ht="14" x14ac:dyDescent="0.3">
      <c r="A13" s="21" t="s">
        <v>8</v>
      </c>
      <c r="B13" s="21" t="s">
        <v>55</v>
      </c>
      <c r="C13" s="21" t="s">
        <v>24</v>
      </c>
    </row>
    <row r="14" spans="1:5" ht="13.5" x14ac:dyDescent="0.25">
      <c r="A14" s="22" t="s">
        <v>92</v>
      </c>
      <c r="B14" s="13">
        <f>就活前_集計!$B$83</f>
        <v>106</v>
      </c>
      <c r="C14" s="14">
        <f>B14/142</f>
        <v>0.74647887323943662</v>
      </c>
    </row>
    <row r="15" spans="1:5" ht="13.5" x14ac:dyDescent="0.25">
      <c r="A15" s="23" t="s">
        <v>93</v>
      </c>
      <c r="B15" s="16">
        <f>就活前_集計!$B$84</f>
        <v>77</v>
      </c>
      <c r="C15" s="17">
        <f>B15/142</f>
        <v>0.54225352112676062</v>
      </c>
    </row>
    <row r="16" spans="1:5" ht="13.5" x14ac:dyDescent="0.25">
      <c r="A16" s="22" t="s">
        <v>94</v>
      </c>
      <c r="B16" s="13">
        <f>就活前_集計!$B$85</f>
        <v>75</v>
      </c>
      <c r="C16" s="14">
        <f>B16/142</f>
        <v>0.528169014084507</v>
      </c>
    </row>
    <row r="17" spans="1:3" ht="13.5" x14ac:dyDescent="0.25">
      <c r="A17" s="23" t="s">
        <v>95</v>
      </c>
      <c r="B17" s="16">
        <f>就活前_集計!$B$86</f>
        <v>63</v>
      </c>
      <c r="C17" s="17">
        <f>B17/142</f>
        <v>0.44366197183098594</v>
      </c>
    </row>
    <row r="18" spans="1:3" ht="13.5" x14ac:dyDescent="0.25">
      <c r="A18" s="22" t="s">
        <v>96</v>
      </c>
      <c r="B18" s="13">
        <f>就活前_集計!$B$87</f>
        <v>62</v>
      </c>
      <c r="C18" s="14">
        <f>B18/142</f>
        <v>0.43661971830985913</v>
      </c>
    </row>
  </sheetData>
  <mergeCells count="3">
    <mergeCell ref="A1:E1"/>
    <mergeCell ref="A12:E12"/>
    <mergeCell ref="A3:E3"/>
  </mergeCells>
  <phoneticPr fontId="1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就活前_集計</vt:lpstr>
      <vt:lpstr>就活経験者_集計</vt:lpstr>
      <vt:lpstr>比較・示唆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石川 美良</cp:lastModifiedBy>
  <dcterms:created xsi:type="dcterms:W3CDTF">2026-07-14T00:46:01Z</dcterms:created>
  <dcterms:modified xsi:type="dcterms:W3CDTF">2026-07-17T09:49:39Z</dcterms:modified>
</cp:coreProperties>
</file>